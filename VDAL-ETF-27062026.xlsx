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guard Diversified All Growth" sheetId="1" r:id="rId5"/>
    <sheet state="visible" name="VDAL Historial Data" sheetId="2" r:id="rId6"/>
  </sheets>
  <definedNames/>
  <calcPr/>
</workbook>
</file>

<file path=xl/sharedStrings.xml><?xml version="1.0" encoding="utf-8"?>
<sst xmlns="http://schemas.openxmlformats.org/spreadsheetml/2006/main" count="97" uniqueCount="27">
  <si>
    <t>Vanguard Diversified All Growth Index ETF</t>
  </si>
  <si>
    <t>Transcation Type</t>
  </si>
  <si>
    <t>DAY</t>
  </si>
  <si>
    <t>DATE</t>
  </si>
  <si>
    <t xml:space="preserve">OPEN </t>
  </si>
  <si>
    <t xml:space="preserve">HIGH </t>
  </si>
  <si>
    <t xml:space="preserve">LOW </t>
  </si>
  <si>
    <t xml:space="preserve">close </t>
  </si>
  <si>
    <t>Buy Price</t>
  </si>
  <si>
    <t>Share Quntity</t>
  </si>
  <si>
    <t>Investment</t>
  </si>
  <si>
    <t>Total Holding</t>
  </si>
  <si>
    <t xml:space="preserve"> Total Basic Investment</t>
  </si>
  <si>
    <t>Value at close</t>
  </si>
  <si>
    <t>Profit /Loss</t>
  </si>
  <si>
    <t>SIP</t>
  </si>
  <si>
    <t>MON</t>
  </si>
  <si>
    <t>TUE</t>
  </si>
  <si>
    <t>WED</t>
  </si>
  <si>
    <t>THU</t>
  </si>
  <si>
    <t>FRI</t>
  </si>
  <si>
    <t>Next week Triggre Price</t>
  </si>
  <si>
    <t>MIN:</t>
  </si>
  <si>
    <t>HOLIDAY</t>
  </si>
  <si>
    <t>ASX:VDAL</t>
  </si>
  <si>
    <t xml:space="preserve">Start Date: </t>
  </si>
  <si>
    <t xml:space="preserve">End Date: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</si>
</sst>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m/d/yyyy h:mm:ss"/>
    <numFmt numFmtId="167" formatCode="d/m/yyyy"/>
  </numFmts>
  <fonts count="9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b/>
      <i/>
      <color theme="1"/>
      <name val="Arial"/>
    </font>
    <font>
      <b/>
      <sz val="21.0"/>
      <color rgb="FF1F1F1F"/>
      <name val="&quot;Google Sans&quot;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0" fillId="3" fontId="4" numFmtId="0" xfId="0" applyAlignment="1" applyFill="1" applyFont="1">
      <alignment readingOrder="0"/>
    </xf>
    <xf borderId="0" fillId="3" fontId="4" numFmtId="0" xfId="0" applyFont="1"/>
    <xf borderId="0" fillId="3" fontId="4" numFmtId="164" xfId="0" applyAlignment="1" applyFont="1" applyNumberFormat="1">
      <alignment readingOrder="0"/>
    </xf>
    <xf borderId="0" fillId="4" fontId="4" numFmtId="0" xfId="0" applyFill="1" applyFont="1"/>
    <xf borderId="0" fillId="0" fontId="4" numFmtId="0" xfId="0" applyAlignment="1" applyFont="1">
      <alignment readingOrder="0"/>
    </xf>
    <xf borderId="0" fillId="0" fontId="4" numFmtId="165" xfId="0" applyFont="1" applyNumberFormat="1"/>
    <xf borderId="0" fillId="0" fontId="4" numFmtId="0" xfId="0" applyFont="1"/>
    <xf borderId="0" fillId="4" fontId="5" numFmtId="0" xfId="0" applyAlignment="1" applyFont="1">
      <alignment vertical="bottom"/>
    </xf>
    <xf borderId="0" fillId="4" fontId="6" numFmtId="166" xfId="0" applyAlignment="1" applyFont="1" applyNumberFormat="1">
      <alignment vertical="bottom"/>
    </xf>
    <xf borderId="0" fillId="4" fontId="6" numFmtId="0" xfId="0" applyAlignment="1" applyFont="1">
      <alignment readingOrder="0" vertical="bottom"/>
    </xf>
    <xf borderId="0" fillId="4" fontId="6" numFmtId="0" xfId="0" applyAlignment="1" applyFont="1">
      <alignment horizontal="right" vertical="bottom"/>
    </xf>
    <xf borderId="0" fillId="5" fontId="4" numFmtId="0" xfId="0" applyFill="1" applyFont="1"/>
    <xf borderId="0" fillId="3" fontId="4" numFmtId="165" xfId="0" applyFont="1" applyNumberFormat="1"/>
    <xf borderId="0" fillId="3" fontId="4" numFmtId="167" xfId="0" applyAlignment="1" applyFont="1" applyNumberFormat="1">
      <alignment readingOrder="0"/>
    </xf>
    <xf borderId="0" fillId="0" fontId="4" numFmtId="166" xfId="0" applyFont="1" applyNumberFormat="1"/>
    <xf borderId="0" fillId="0" fontId="4" numFmtId="164" xfId="0" applyAlignment="1" applyFont="1" applyNumberFormat="1">
      <alignment readingOrder="0"/>
    </xf>
    <xf borderId="0" fillId="5" fontId="4" numFmtId="0" xfId="0" applyAlignment="1" applyFont="1">
      <alignment readingOrder="0"/>
    </xf>
    <xf borderId="0" fillId="5" fontId="7" numFmtId="0" xfId="0" applyAlignment="1" applyFont="1">
      <alignment horizontal="left" readingOrder="0" shrinkToFit="0" wrapText="0"/>
    </xf>
    <xf borderId="0" fillId="0" fontId="8" numFmtId="0" xfId="0" applyFont="1"/>
    <xf borderId="0" fillId="0" fontId="8" numFmtId="0" xfId="0" applyAlignment="1" applyFont="1">
      <alignment horizontal="right" readingOrder="0"/>
    </xf>
    <xf borderId="0" fillId="0" fontId="4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9.38"/>
  </cols>
  <sheetData>
    <row r="1">
      <c r="A1" s="1" t="s">
        <v>0</v>
      </c>
      <c r="B1" s="2"/>
      <c r="C1" s="2"/>
    </row>
    <row r="3">
      <c r="A3" s="3" t="s">
        <v>1</v>
      </c>
      <c r="B3" s="4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4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6" t="s">
        <v>15</v>
      </c>
      <c r="B4" s="7"/>
      <c r="C4" s="8">
        <v>45758.0</v>
      </c>
      <c r="D4" s="7"/>
      <c r="E4" s="7"/>
      <c r="F4" s="7"/>
      <c r="G4" s="7"/>
      <c r="H4" s="6">
        <v>46.0</v>
      </c>
      <c r="I4" s="6">
        <v>2.0</v>
      </c>
      <c r="J4" s="6">
        <v>92.0</v>
      </c>
      <c r="K4" s="6">
        <v>2.0</v>
      </c>
      <c r="L4" s="6">
        <v>92.0</v>
      </c>
    </row>
    <row r="5">
      <c r="A5" s="6" t="s">
        <v>15</v>
      </c>
      <c r="B5" s="7"/>
      <c r="C5" s="8">
        <v>45814.0</v>
      </c>
      <c r="D5" s="7"/>
      <c r="E5" s="7"/>
      <c r="F5" s="7"/>
      <c r="G5" s="7"/>
      <c r="H5" s="6">
        <v>51.66</v>
      </c>
      <c r="I5" s="6">
        <v>1.0</v>
      </c>
      <c r="J5" s="6">
        <v>51.66</v>
      </c>
      <c r="K5" s="6">
        <v>3.0</v>
      </c>
      <c r="L5" s="6">
        <v>143.66</v>
      </c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>
      <c r="B7" s="10" t="s">
        <v>16</v>
      </c>
      <c r="C7" s="11">
        <v>45859.66666666667</v>
      </c>
      <c r="D7" s="12">
        <v>52.87</v>
      </c>
      <c r="E7" s="12">
        <v>52.87</v>
      </c>
      <c r="F7" s="12">
        <v>52.62</v>
      </c>
      <c r="G7" s="12">
        <v>52.69</v>
      </c>
      <c r="H7" s="7"/>
      <c r="K7" s="10">
        <v>3.0</v>
      </c>
      <c r="L7" s="10">
        <v>143.66</v>
      </c>
      <c r="M7" s="12">
        <f t="shared" ref="M7:M11" si="1">K7*G7</f>
        <v>158.07</v>
      </c>
      <c r="N7" s="12">
        <f t="shared" ref="N7:N11" si="2">M7-L7</f>
        <v>14.41</v>
      </c>
    </row>
    <row r="8">
      <c r="B8" s="10" t="s">
        <v>17</v>
      </c>
      <c r="C8" s="11">
        <v>45860.66666666667</v>
      </c>
      <c r="D8" s="12">
        <v>52.8</v>
      </c>
      <c r="E8" s="12">
        <v>52.9</v>
      </c>
      <c r="F8" s="12">
        <v>52.66</v>
      </c>
      <c r="G8" s="12">
        <v>52.66</v>
      </c>
      <c r="H8" s="7"/>
      <c r="K8" s="10">
        <v>3.0</v>
      </c>
      <c r="L8" s="10">
        <v>143.66</v>
      </c>
      <c r="M8" s="12">
        <f t="shared" si="1"/>
        <v>157.98</v>
      </c>
      <c r="N8" s="12">
        <f t="shared" si="2"/>
        <v>14.32</v>
      </c>
    </row>
    <row r="9">
      <c r="B9" s="10" t="s">
        <v>18</v>
      </c>
      <c r="C9" s="11">
        <v>45861.66666666667</v>
      </c>
      <c r="D9" s="12">
        <v>52.95</v>
      </c>
      <c r="E9" s="12">
        <v>52.98</v>
      </c>
      <c r="F9" s="12">
        <v>52.73</v>
      </c>
      <c r="G9" s="12">
        <v>52.97</v>
      </c>
      <c r="H9" s="7"/>
      <c r="K9" s="10">
        <v>3.0</v>
      </c>
      <c r="L9" s="10">
        <v>143.66</v>
      </c>
      <c r="M9" s="12">
        <f t="shared" si="1"/>
        <v>158.91</v>
      </c>
      <c r="N9" s="12">
        <f t="shared" si="2"/>
        <v>15.25</v>
      </c>
    </row>
    <row r="10">
      <c r="B10" s="10" t="s">
        <v>19</v>
      </c>
      <c r="C10" s="11">
        <v>45862.66666666667</v>
      </c>
      <c r="D10" s="12">
        <v>53.15</v>
      </c>
      <c r="E10" s="12">
        <v>53.15</v>
      </c>
      <c r="F10" s="12">
        <v>52.9</v>
      </c>
      <c r="G10" s="12">
        <v>52.96</v>
      </c>
      <c r="H10" s="7"/>
      <c r="K10" s="10">
        <v>3.0</v>
      </c>
      <c r="L10" s="10">
        <v>143.66</v>
      </c>
      <c r="M10" s="12">
        <f t="shared" si="1"/>
        <v>158.88</v>
      </c>
      <c r="N10" s="12">
        <f t="shared" si="2"/>
        <v>15.22</v>
      </c>
    </row>
    <row r="11">
      <c r="B11" s="10" t="s">
        <v>20</v>
      </c>
      <c r="C11" s="11">
        <v>45863.66666666667</v>
      </c>
      <c r="D11" s="12">
        <v>52.92</v>
      </c>
      <c r="E11" s="12">
        <v>52.98</v>
      </c>
      <c r="F11" s="12">
        <v>52.85</v>
      </c>
      <c r="G11" s="12">
        <v>52.91</v>
      </c>
      <c r="H11" s="7"/>
      <c r="K11" s="10">
        <v>3.0</v>
      </c>
      <c r="L11" s="10">
        <v>143.66</v>
      </c>
      <c r="M11" s="12">
        <f t="shared" si="1"/>
        <v>158.73</v>
      </c>
      <c r="N11" s="12">
        <f t="shared" si="2"/>
        <v>15.07</v>
      </c>
    </row>
    <row r="12">
      <c r="A12" s="9"/>
      <c r="B12" s="13"/>
      <c r="C12" s="14" t="s">
        <v>21</v>
      </c>
      <c r="D12" s="13"/>
      <c r="E12" s="15" t="s">
        <v>22</v>
      </c>
      <c r="F12" s="16">
        <f>MIN(F7:F11)</f>
        <v>52.62</v>
      </c>
      <c r="G12" s="9"/>
      <c r="H12" s="9"/>
      <c r="I12" s="9"/>
      <c r="J12" s="9"/>
      <c r="K12" s="9"/>
      <c r="L12" s="9"/>
      <c r="M12" s="9"/>
      <c r="N12" s="9"/>
    </row>
    <row r="13">
      <c r="A13" s="17"/>
      <c r="B13" s="10" t="s">
        <v>16</v>
      </c>
      <c r="C13" s="11">
        <v>45866.66666666667</v>
      </c>
      <c r="D13" s="12">
        <v>53.12</v>
      </c>
      <c r="E13" s="12">
        <v>53.28</v>
      </c>
      <c r="F13" s="12">
        <v>53.08</v>
      </c>
      <c r="G13" s="12">
        <v>53.28</v>
      </c>
      <c r="H13" s="7"/>
      <c r="K13" s="10">
        <v>3.0</v>
      </c>
      <c r="L13" s="10">
        <v>143.66</v>
      </c>
      <c r="M13" s="12">
        <f t="shared" ref="M13:M17" si="3">K13*G13</f>
        <v>159.84</v>
      </c>
      <c r="N13" s="12">
        <f t="shared" ref="N13:N17" si="4">M13-L13</f>
        <v>16.18</v>
      </c>
    </row>
    <row r="14">
      <c r="B14" s="10" t="s">
        <v>17</v>
      </c>
      <c r="C14" s="11">
        <v>45867.66666666667</v>
      </c>
      <c r="D14" s="12">
        <v>52.98</v>
      </c>
      <c r="E14" s="12">
        <v>53.14</v>
      </c>
      <c r="F14" s="12">
        <v>52.95</v>
      </c>
      <c r="G14" s="12">
        <v>53.02</v>
      </c>
      <c r="H14" s="7"/>
      <c r="K14" s="10">
        <v>3.0</v>
      </c>
      <c r="L14" s="10">
        <v>143.66</v>
      </c>
      <c r="M14" s="12">
        <f t="shared" si="3"/>
        <v>159.06</v>
      </c>
      <c r="N14" s="12">
        <f t="shared" si="4"/>
        <v>15.4</v>
      </c>
    </row>
    <row r="15">
      <c r="A15" s="6" t="s">
        <v>15</v>
      </c>
      <c r="B15" s="6" t="s">
        <v>18</v>
      </c>
      <c r="C15" s="18">
        <v>45868.66666666667</v>
      </c>
      <c r="D15" s="7">
        <v>53.11</v>
      </c>
      <c r="E15" s="7">
        <v>53.45</v>
      </c>
      <c r="F15" s="7">
        <v>53.05</v>
      </c>
      <c r="G15" s="7">
        <v>53.25</v>
      </c>
      <c r="H15" s="6">
        <v>53.31</v>
      </c>
      <c r="I15" s="6">
        <v>2.0</v>
      </c>
      <c r="J15" s="6">
        <v>106.62</v>
      </c>
      <c r="K15" s="6">
        <v>5.0</v>
      </c>
      <c r="L15" s="6">
        <v>250.28</v>
      </c>
      <c r="M15" s="7">
        <f t="shared" si="3"/>
        <v>266.25</v>
      </c>
      <c r="N15" s="7">
        <f t="shared" si="4"/>
        <v>15.97</v>
      </c>
    </row>
    <row r="16">
      <c r="B16" s="10" t="s">
        <v>19</v>
      </c>
      <c r="C16" s="11">
        <v>45869.66666666667</v>
      </c>
      <c r="D16" s="12">
        <v>53.51</v>
      </c>
      <c r="E16" s="12">
        <v>53.54</v>
      </c>
      <c r="F16" s="12">
        <v>53.35</v>
      </c>
      <c r="G16" s="12">
        <v>53.38</v>
      </c>
      <c r="H16" s="7"/>
      <c r="K16" s="10">
        <v>5.0</v>
      </c>
      <c r="L16" s="10">
        <v>250.28</v>
      </c>
      <c r="M16" s="12">
        <f t="shared" si="3"/>
        <v>266.9</v>
      </c>
      <c r="N16" s="12">
        <f t="shared" si="4"/>
        <v>16.62</v>
      </c>
    </row>
    <row r="17">
      <c r="B17" s="10" t="s">
        <v>20</v>
      </c>
      <c r="C17" s="11">
        <v>45870.66666666667</v>
      </c>
      <c r="D17" s="12">
        <v>53.06</v>
      </c>
      <c r="E17" s="12">
        <v>53.08</v>
      </c>
      <c r="F17" s="12">
        <v>52.88</v>
      </c>
      <c r="G17" s="12">
        <v>52.96</v>
      </c>
      <c r="H17" s="7"/>
      <c r="K17" s="10">
        <v>5.0</v>
      </c>
      <c r="L17" s="10">
        <v>250.28</v>
      </c>
      <c r="M17" s="12">
        <f t="shared" si="3"/>
        <v>264.8</v>
      </c>
      <c r="N17" s="12">
        <f t="shared" si="4"/>
        <v>14.52</v>
      </c>
    </row>
    <row r="18">
      <c r="A18" s="9"/>
      <c r="B18" s="9"/>
      <c r="C18" s="9"/>
      <c r="D18" s="9"/>
      <c r="E18" s="9"/>
      <c r="F18" s="16">
        <f>MIN(F13:F17)</f>
        <v>52.88</v>
      </c>
      <c r="G18" s="9"/>
      <c r="H18" s="9"/>
      <c r="I18" s="9"/>
      <c r="J18" s="9"/>
      <c r="K18" s="9"/>
      <c r="L18" s="9"/>
      <c r="M18" s="9"/>
      <c r="N18" s="9"/>
    </row>
    <row r="19">
      <c r="B19" s="10" t="s">
        <v>16</v>
      </c>
      <c r="C19" s="11">
        <v>45873.66666666667</v>
      </c>
      <c r="D19" s="12">
        <v>52.92</v>
      </c>
      <c r="E19" s="12">
        <v>52.95</v>
      </c>
      <c r="F19" s="12">
        <v>52.3</v>
      </c>
      <c r="G19" s="12">
        <v>52.55</v>
      </c>
      <c r="H19" s="7"/>
      <c r="K19" s="10">
        <v>5.0</v>
      </c>
      <c r="L19" s="10">
        <v>250.28</v>
      </c>
      <c r="M19" s="12">
        <f t="shared" ref="M19:M23" si="5">K19*G19</f>
        <v>262.75</v>
      </c>
      <c r="N19" s="12">
        <f t="shared" ref="N19:N23" si="6">M19-L19</f>
        <v>12.47</v>
      </c>
    </row>
    <row r="20">
      <c r="B20" s="10" t="s">
        <v>17</v>
      </c>
      <c r="C20" s="11">
        <v>45874.66666666667</v>
      </c>
      <c r="D20" s="12">
        <v>53.03</v>
      </c>
      <c r="E20" s="12">
        <v>53.26</v>
      </c>
      <c r="F20" s="12">
        <v>53.03</v>
      </c>
      <c r="G20" s="12">
        <v>53.13</v>
      </c>
      <c r="H20" s="7"/>
      <c r="K20" s="10">
        <v>5.0</v>
      </c>
      <c r="L20" s="10">
        <v>250.28</v>
      </c>
      <c r="M20" s="12">
        <f t="shared" si="5"/>
        <v>265.65</v>
      </c>
      <c r="N20" s="12">
        <f t="shared" si="6"/>
        <v>15.37</v>
      </c>
    </row>
    <row r="21">
      <c r="B21" s="10" t="s">
        <v>18</v>
      </c>
      <c r="C21" s="11">
        <v>45875.66666666667</v>
      </c>
      <c r="D21" s="12">
        <v>53.11</v>
      </c>
      <c r="E21" s="12">
        <v>53.37</v>
      </c>
      <c r="F21" s="12">
        <v>53.0</v>
      </c>
      <c r="G21" s="12">
        <v>53.28</v>
      </c>
      <c r="H21" s="7"/>
      <c r="K21" s="10">
        <v>5.0</v>
      </c>
      <c r="L21" s="10">
        <v>250.28</v>
      </c>
      <c r="M21" s="12">
        <f t="shared" si="5"/>
        <v>266.4</v>
      </c>
      <c r="N21" s="12">
        <f t="shared" si="6"/>
        <v>16.12</v>
      </c>
    </row>
    <row r="22">
      <c r="B22" s="10" t="s">
        <v>19</v>
      </c>
      <c r="C22" s="11">
        <v>45876.66666666667</v>
      </c>
      <c r="D22" s="12">
        <v>53.44</v>
      </c>
      <c r="E22" s="12">
        <v>53.46</v>
      </c>
      <c r="F22" s="12">
        <v>53.31</v>
      </c>
      <c r="G22" s="12">
        <v>53.36</v>
      </c>
      <c r="H22" s="7"/>
      <c r="K22" s="10">
        <v>5.0</v>
      </c>
      <c r="L22" s="10">
        <v>250.28</v>
      </c>
      <c r="M22" s="12">
        <f t="shared" si="5"/>
        <v>266.8</v>
      </c>
      <c r="N22" s="12">
        <f t="shared" si="6"/>
        <v>16.52</v>
      </c>
    </row>
    <row r="23">
      <c r="B23" s="10" t="s">
        <v>20</v>
      </c>
      <c r="C23" s="11">
        <v>45877.66666666667</v>
      </c>
      <c r="D23" s="12">
        <v>53.39</v>
      </c>
      <c r="E23" s="12">
        <v>53.46</v>
      </c>
      <c r="F23" s="12">
        <v>53.3</v>
      </c>
      <c r="G23" s="12">
        <v>53.31</v>
      </c>
      <c r="H23" s="7"/>
      <c r="K23" s="10">
        <v>5.0</v>
      </c>
      <c r="L23" s="10">
        <v>250.28</v>
      </c>
      <c r="M23" s="12">
        <f t="shared" si="5"/>
        <v>266.55</v>
      </c>
      <c r="N23" s="12">
        <f t="shared" si="6"/>
        <v>16.27</v>
      </c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>
      <c r="B25" s="10" t="s">
        <v>16</v>
      </c>
      <c r="C25" s="11">
        <v>45880.66666666667</v>
      </c>
      <c r="D25" s="12">
        <v>53.56</v>
      </c>
      <c r="E25" s="12">
        <v>53.62</v>
      </c>
      <c r="F25" s="12">
        <v>53.5</v>
      </c>
      <c r="G25" s="12">
        <v>53.58</v>
      </c>
      <c r="H25" s="7"/>
      <c r="K25" s="10">
        <v>5.0</v>
      </c>
      <c r="L25" s="10">
        <v>250.28</v>
      </c>
      <c r="M25" s="12">
        <f t="shared" ref="M25:M29" si="7">K25*G25</f>
        <v>267.9</v>
      </c>
      <c r="N25" s="12">
        <f t="shared" ref="N25:N29" si="8">M25-L25</f>
        <v>17.62</v>
      </c>
    </row>
    <row r="26">
      <c r="B26" s="10" t="s">
        <v>17</v>
      </c>
      <c r="C26" s="11">
        <v>45881.66666666667</v>
      </c>
      <c r="D26" s="12">
        <v>53.52</v>
      </c>
      <c r="E26" s="12">
        <v>53.7</v>
      </c>
      <c r="F26" s="12">
        <v>53.46</v>
      </c>
      <c r="G26" s="12">
        <v>53.63</v>
      </c>
      <c r="H26" s="7"/>
      <c r="K26" s="10">
        <v>5.0</v>
      </c>
      <c r="L26" s="10">
        <v>250.28</v>
      </c>
      <c r="M26" s="12">
        <f t="shared" si="7"/>
        <v>268.15</v>
      </c>
      <c r="N26" s="12">
        <f t="shared" si="8"/>
        <v>17.87</v>
      </c>
    </row>
    <row r="27">
      <c r="B27" s="10" t="s">
        <v>18</v>
      </c>
      <c r="C27" s="11">
        <v>45882.66666666667</v>
      </c>
      <c r="D27" s="12">
        <v>53.98</v>
      </c>
      <c r="E27" s="12">
        <v>54.06</v>
      </c>
      <c r="F27" s="12">
        <v>53.71</v>
      </c>
      <c r="G27" s="12">
        <v>53.8</v>
      </c>
      <c r="H27" s="7"/>
      <c r="K27" s="10">
        <v>5.0</v>
      </c>
      <c r="L27" s="10">
        <v>250.28</v>
      </c>
      <c r="M27" s="12">
        <f t="shared" si="7"/>
        <v>269</v>
      </c>
      <c r="N27" s="12">
        <f t="shared" si="8"/>
        <v>18.72</v>
      </c>
    </row>
    <row r="28">
      <c r="B28" s="10" t="s">
        <v>19</v>
      </c>
      <c r="C28" s="11">
        <v>45883.66666666667</v>
      </c>
      <c r="D28" s="12">
        <v>53.94</v>
      </c>
      <c r="E28" s="12">
        <v>53.98</v>
      </c>
      <c r="F28" s="12">
        <v>53.88</v>
      </c>
      <c r="G28" s="12">
        <v>53.88</v>
      </c>
      <c r="H28" s="7"/>
      <c r="K28" s="10">
        <v>5.0</v>
      </c>
      <c r="L28" s="10">
        <v>250.28</v>
      </c>
      <c r="M28" s="12">
        <f t="shared" si="7"/>
        <v>269.4</v>
      </c>
      <c r="N28" s="12">
        <f t="shared" si="8"/>
        <v>19.12</v>
      </c>
    </row>
    <row r="29">
      <c r="B29" s="10" t="s">
        <v>20</v>
      </c>
      <c r="C29" s="11">
        <v>45884.66666666667</v>
      </c>
      <c r="D29" s="12">
        <v>54.01</v>
      </c>
      <c r="E29" s="12">
        <v>54.36</v>
      </c>
      <c r="F29" s="12">
        <v>54.01</v>
      </c>
      <c r="G29" s="12">
        <v>54.36</v>
      </c>
      <c r="H29" s="7"/>
      <c r="K29" s="10">
        <v>5.0</v>
      </c>
      <c r="L29" s="10">
        <v>250.28</v>
      </c>
      <c r="M29" s="12">
        <f t="shared" si="7"/>
        <v>271.8</v>
      </c>
      <c r="N29" s="12">
        <f t="shared" si="8"/>
        <v>21.52</v>
      </c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2">
      <c r="A32" s="6" t="s">
        <v>15</v>
      </c>
      <c r="B32" s="7"/>
      <c r="C32" s="8">
        <v>45897.0</v>
      </c>
      <c r="D32" s="7"/>
      <c r="E32" s="7"/>
      <c r="F32" s="7"/>
      <c r="G32" s="7"/>
      <c r="H32" s="6">
        <v>54.45</v>
      </c>
      <c r="I32" s="6">
        <v>1.0</v>
      </c>
      <c r="J32" s="7">
        <f t="shared" ref="J32:J34" si="10">I32*H32</f>
        <v>54.45</v>
      </c>
      <c r="K32" s="7">
        <f t="shared" ref="K32:L32" si="9">K29+I32</f>
        <v>6</v>
      </c>
      <c r="L32" s="7">
        <f t="shared" si="9"/>
        <v>304.73</v>
      </c>
      <c r="M32" s="7"/>
      <c r="N32" s="7"/>
    </row>
    <row r="33">
      <c r="A33" s="6" t="s">
        <v>15</v>
      </c>
      <c r="B33" s="7"/>
      <c r="C33" s="8">
        <v>45919.0</v>
      </c>
      <c r="D33" s="7"/>
      <c r="E33" s="7"/>
      <c r="F33" s="7"/>
      <c r="G33" s="7"/>
      <c r="H33" s="6">
        <v>54.86</v>
      </c>
      <c r="I33" s="6">
        <v>2.0</v>
      </c>
      <c r="J33" s="7">
        <f t="shared" si="10"/>
        <v>109.72</v>
      </c>
      <c r="K33" s="7">
        <f t="shared" ref="K33:L33" si="11">K32+I33</f>
        <v>8</v>
      </c>
      <c r="L33" s="7">
        <f t="shared" si="11"/>
        <v>414.45</v>
      </c>
      <c r="M33" s="7"/>
      <c r="N33" s="7"/>
    </row>
    <row r="34">
      <c r="A34" s="6" t="s">
        <v>15</v>
      </c>
      <c r="B34" s="7"/>
      <c r="C34" s="19">
        <v>45950.0</v>
      </c>
      <c r="D34" s="7"/>
      <c r="E34" s="7"/>
      <c r="F34" s="7"/>
      <c r="G34" s="7"/>
      <c r="H34" s="6">
        <v>55.85</v>
      </c>
      <c r="I34" s="6">
        <v>1.0</v>
      </c>
      <c r="J34" s="7">
        <f t="shared" si="10"/>
        <v>55.85</v>
      </c>
      <c r="K34" s="7">
        <f t="shared" ref="K34:L34" si="12">K33+I34</f>
        <v>9</v>
      </c>
      <c r="L34" s="7">
        <f t="shared" si="12"/>
        <v>470.3</v>
      </c>
      <c r="M34" s="7"/>
      <c r="N34" s="7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>
      <c r="A36" s="6" t="s">
        <v>15</v>
      </c>
      <c r="B36" s="7"/>
      <c r="C36" s="19">
        <v>45975.0</v>
      </c>
      <c r="D36" s="7"/>
      <c r="E36" s="7"/>
      <c r="F36" s="7"/>
      <c r="G36" s="7"/>
      <c r="H36" s="6">
        <v>55.07</v>
      </c>
      <c r="I36" s="6">
        <v>1.0</v>
      </c>
      <c r="J36" s="6">
        <v>55.07</v>
      </c>
      <c r="K36" s="6">
        <v>10.0</v>
      </c>
      <c r="L36" s="7">
        <f>L34+J36</f>
        <v>525.37</v>
      </c>
      <c r="M36" s="7"/>
      <c r="N36" s="7"/>
    </row>
    <row r="37">
      <c r="A37" s="6" t="s">
        <v>15</v>
      </c>
      <c r="B37" s="7"/>
      <c r="C37" s="19">
        <v>45990.0</v>
      </c>
      <c r="D37" s="7"/>
      <c r="E37" s="7"/>
      <c r="F37" s="7"/>
      <c r="G37" s="7"/>
      <c r="H37" s="6">
        <v>55.36</v>
      </c>
      <c r="I37" s="6">
        <v>1.0</v>
      </c>
      <c r="J37" s="6">
        <v>55.36</v>
      </c>
      <c r="K37" s="6">
        <v>11.0</v>
      </c>
      <c r="L37" s="7">
        <f t="shared" ref="L37:L38" si="13">L36+J37</f>
        <v>580.73</v>
      </c>
      <c r="M37" s="7"/>
      <c r="N37" s="7"/>
    </row>
    <row r="38">
      <c r="A38" s="6" t="s">
        <v>15</v>
      </c>
      <c r="B38" s="7"/>
      <c r="C38" s="19">
        <v>46385.0</v>
      </c>
      <c r="D38" s="7"/>
      <c r="E38" s="7"/>
      <c r="F38" s="7"/>
      <c r="G38" s="7"/>
      <c r="H38" s="6">
        <v>55.69</v>
      </c>
      <c r="I38" s="6">
        <v>1.0</v>
      </c>
      <c r="J38" s="6">
        <v>55.69</v>
      </c>
      <c r="K38" s="6">
        <v>12.0</v>
      </c>
      <c r="L38" s="7">
        <f t="shared" si="13"/>
        <v>636.42</v>
      </c>
      <c r="M38" s="7"/>
      <c r="N38" s="7"/>
    </row>
    <row r="39">
      <c r="B39" s="10" t="s">
        <v>16</v>
      </c>
      <c r="C39" s="11">
        <v>46027.66666666667</v>
      </c>
      <c r="D39" s="12">
        <v>55.4</v>
      </c>
      <c r="E39" s="12">
        <v>55.94</v>
      </c>
      <c r="F39" s="12">
        <v>55.31</v>
      </c>
      <c r="G39" s="12">
        <v>55.54</v>
      </c>
      <c r="K39" s="10">
        <v>12.0</v>
      </c>
      <c r="L39" s="10">
        <v>636.42</v>
      </c>
      <c r="M39" s="12">
        <f t="shared" ref="M39:M43" si="14">K39*G39</f>
        <v>666.48</v>
      </c>
      <c r="N39" s="12">
        <f t="shared" ref="N39:N43" si="15">M39-L39</f>
        <v>30.06</v>
      </c>
    </row>
    <row r="40">
      <c r="B40" s="10" t="s">
        <v>17</v>
      </c>
      <c r="C40" s="11">
        <v>46028.66666666667</v>
      </c>
      <c r="D40" s="12">
        <v>55.76</v>
      </c>
      <c r="E40" s="12">
        <v>55.78</v>
      </c>
      <c r="F40" s="12">
        <v>55.44</v>
      </c>
      <c r="G40" s="12">
        <v>55.45</v>
      </c>
      <c r="K40" s="10">
        <v>12.0</v>
      </c>
      <c r="L40" s="10">
        <v>636.42</v>
      </c>
      <c r="M40" s="12">
        <f t="shared" si="14"/>
        <v>665.4</v>
      </c>
      <c r="N40" s="12">
        <f t="shared" si="15"/>
        <v>28.98</v>
      </c>
    </row>
    <row r="41">
      <c r="B41" s="10" t="s">
        <v>18</v>
      </c>
      <c r="C41" s="11">
        <v>46029.66666666667</v>
      </c>
      <c r="D41" s="12">
        <v>55.76</v>
      </c>
      <c r="E41" s="12">
        <v>55.95</v>
      </c>
      <c r="F41" s="12">
        <v>55.5</v>
      </c>
      <c r="G41" s="12">
        <v>55.5</v>
      </c>
      <c r="K41" s="10">
        <v>12.0</v>
      </c>
      <c r="L41" s="10">
        <v>636.42</v>
      </c>
      <c r="M41" s="12">
        <f t="shared" si="14"/>
        <v>666</v>
      </c>
      <c r="N41" s="12">
        <f t="shared" si="15"/>
        <v>29.58</v>
      </c>
    </row>
    <row r="42">
      <c r="B42" s="10" t="s">
        <v>19</v>
      </c>
      <c r="C42" s="11">
        <v>46030.66666666667</v>
      </c>
      <c r="D42" s="12">
        <v>55.66</v>
      </c>
      <c r="E42" s="12">
        <v>55.79</v>
      </c>
      <c r="F42" s="12">
        <v>55.56</v>
      </c>
      <c r="G42" s="12">
        <v>55.6</v>
      </c>
      <c r="K42" s="10">
        <v>12.0</v>
      </c>
      <c r="L42" s="10">
        <v>636.42</v>
      </c>
      <c r="M42" s="12">
        <f t="shared" si="14"/>
        <v>667.2</v>
      </c>
      <c r="N42" s="12">
        <f t="shared" si="15"/>
        <v>30.78</v>
      </c>
    </row>
    <row r="43">
      <c r="B43" s="10" t="s">
        <v>20</v>
      </c>
      <c r="C43" s="20">
        <v>46031.66666666667</v>
      </c>
      <c r="D43" s="12">
        <v>55.88</v>
      </c>
      <c r="E43" s="12">
        <v>55.92</v>
      </c>
      <c r="F43" s="12">
        <v>55.64</v>
      </c>
      <c r="G43" s="12">
        <v>55.64</v>
      </c>
      <c r="K43" s="10">
        <v>12.0</v>
      </c>
      <c r="L43" s="10">
        <v>636.42</v>
      </c>
      <c r="M43" s="12">
        <f t="shared" si="14"/>
        <v>667.68</v>
      </c>
      <c r="N43" s="12">
        <f t="shared" si="15"/>
        <v>31.26</v>
      </c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>
      <c r="B45" s="10" t="s">
        <v>16</v>
      </c>
      <c r="C45" s="11">
        <v>46041.66666666667</v>
      </c>
      <c r="D45" s="12">
        <v>56.53</v>
      </c>
      <c r="E45" s="12">
        <v>56.78</v>
      </c>
      <c r="F45" s="12">
        <v>56.16</v>
      </c>
      <c r="G45" s="12">
        <v>56.27</v>
      </c>
      <c r="K45" s="10">
        <v>12.0</v>
      </c>
      <c r="L45" s="10">
        <v>636.42</v>
      </c>
      <c r="M45" s="12">
        <f t="shared" ref="M45:M48" si="16">K45*G45</f>
        <v>675.24</v>
      </c>
      <c r="N45" s="12">
        <f t="shared" ref="N45:N48" si="17">M45-L45</f>
        <v>38.82</v>
      </c>
    </row>
    <row r="46">
      <c r="B46" s="10" t="s">
        <v>17</v>
      </c>
      <c r="C46" s="11">
        <v>46042.66666666667</v>
      </c>
      <c r="D46" s="12">
        <v>56.13</v>
      </c>
      <c r="E46" s="12">
        <v>56.17</v>
      </c>
      <c r="F46" s="12">
        <v>55.8</v>
      </c>
      <c r="G46" s="12">
        <v>55.8</v>
      </c>
      <c r="K46" s="10">
        <v>12.0</v>
      </c>
      <c r="L46" s="10">
        <v>636.42</v>
      </c>
      <c r="M46" s="12">
        <f t="shared" si="16"/>
        <v>669.6</v>
      </c>
      <c r="N46" s="12">
        <f t="shared" si="17"/>
        <v>33.18</v>
      </c>
    </row>
    <row r="47">
      <c r="B47" s="10" t="s">
        <v>18</v>
      </c>
      <c r="C47" s="11">
        <v>46043.66666666667</v>
      </c>
      <c r="D47" s="12">
        <v>55.8</v>
      </c>
      <c r="E47" s="12">
        <v>55.8</v>
      </c>
      <c r="F47" s="12">
        <v>55.4</v>
      </c>
      <c r="G47" s="12">
        <v>55.52</v>
      </c>
      <c r="K47" s="10">
        <v>12.0</v>
      </c>
      <c r="L47" s="10">
        <v>636.42</v>
      </c>
      <c r="M47" s="12">
        <f t="shared" si="16"/>
        <v>666.24</v>
      </c>
      <c r="N47" s="12">
        <f t="shared" si="17"/>
        <v>29.82</v>
      </c>
    </row>
    <row r="48">
      <c r="B48" s="10" t="s">
        <v>19</v>
      </c>
      <c r="C48" s="11">
        <v>46044.66666666667</v>
      </c>
      <c r="D48" s="12">
        <v>55.9</v>
      </c>
      <c r="E48" s="12">
        <v>56.27</v>
      </c>
      <c r="F48" s="12">
        <v>55.88</v>
      </c>
      <c r="G48" s="12">
        <v>55.94</v>
      </c>
      <c r="K48" s="10">
        <v>12.0</v>
      </c>
      <c r="L48" s="10">
        <v>636.42</v>
      </c>
      <c r="M48" s="12">
        <f t="shared" si="16"/>
        <v>671.28</v>
      </c>
      <c r="N48" s="12">
        <f t="shared" si="17"/>
        <v>34.86</v>
      </c>
    </row>
    <row r="49">
      <c r="A49" s="7"/>
      <c r="B49" s="6" t="s">
        <v>20</v>
      </c>
      <c r="C49" s="7"/>
      <c r="D49" s="7"/>
      <c r="E49" s="7"/>
      <c r="F49" s="7"/>
      <c r="G49" s="7"/>
      <c r="H49" s="6">
        <v>55.99</v>
      </c>
      <c r="I49" s="6">
        <v>1.0</v>
      </c>
      <c r="J49" s="6">
        <v>55.99</v>
      </c>
      <c r="K49" s="7">
        <f t="shared" ref="K49:L49" si="18">K48+I49</f>
        <v>13</v>
      </c>
      <c r="L49" s="7">
        <f t="shared" si="18"/>
        <v>692.41</v>
      </c>
      <c r="M49" s="7"/>
      <c r="N49" s="7"/>
    </row>
    <row r="50">
      <c r="B50" s="10" t="s">
        <v>16</v>
      </c>
      <c r="C50" s="21">
        <v>46048.0</v>
      </c>
      <c r="D50" s="10" t="s">
        <v>23</v>
      </c>
      <c r="E50" s="10" t="s">
        <v>23</v>
      </c>
      <c r="F50" s="10" t="s">
        <v>23</v>
      </c>
      <c r="G50" s="10" t="s">
        <v>23</v>
      </c>
      <c r="H50" s="10" t="s">
        <v>23</v>
      </c>
      <c r="I50" s="10" t="s">
        <v>23</v>
      </c>
      <c r="J50" s="10" t="s">
        <v>23</v>
      </c>
      <c r="K50" s="10">
        <v>13.0</v>
      </c>
      <c r="L50" s="10">
        <v>692.41</v>
      </c>
    </row>
    <row r="51">
      <c r="B51" s="10" t="s">
        <v>17</v>
      </c>
      <c r="C51" s="21">
        <v>46049.0</v>
      </c>
      <c r="D51" s="12">
        <v>55.94</v>
      </c>
      <c r="E51" s="12">
        <v>56.15</v>
      </c>
      <c r="F51" s="12">
        <v>55.9</v>
      </c>
      <c r="G51" s="12">
        <v>56.04</v>
      </c>
      <c r="K51" s="10">
        <v>13.0</v>
      </c>
      <c r="L51" s="10">
        <v>692.41</v>
      </c>
      <c r="M51" s="12">
        <f t="shared" ref="M51:M53" si="19">K51*G51</f>
        <v>728.52</v>
      </c>
      <c r="N51" s="12">
        <f t="shared" ref="N51:N53" si="20">M51-L51</f>
        <v>36.11</v>
      </c>
    </row>
    <row r="52">
      <c r="B52" s="10" t="s">
        <v>18</v>
      </c>
      <c r="C52" s="21">
        <v>46050.0</v>
      </c>
      <c r="D52" s="12">
        <v>56.02</v>
      </c>
      <c r="E52" s="12">
        <v>56.15</v>
      </c>
      <c r="F52" s="12">
        <v>55.81</v>
      </c>
      <c r="G52" s="12">
        <v>55.9</v>
      </c>
      <c r="K52" s="10">
        <v>13.0</v>
      </c>
      <c r="L52" s="10">
        <v>692.41</v>
      </c>
      <c r="M52" s="12">
        <f t="shared" si="19"/>
        <v>726.7</v>
      </c>
      <c r="N52" s="12">
        <f t="shared" si="20"/>
        <v>34.29</v>
      </c>
    </row>
    <row r="53">
      <c r="B53" s="10" t="s">
        <v>19</v>
      </c>
      <c r="C53" s="21">
        <v>46051.0</v>
      </c>
      <c r="D53" s="12">
        <v>55.8</v>
      </c>
      <c r="E53" s="12">
        <v>55.87</v>
      </c>
      <c r="F53" s="12">
        <v>55.46</v>
      </c>
      <c r="G53" s="12">
        <v>55.59</v>
      </c>
      <c r="K53" s="10">
        <v>13.0</v>
      </c>
      <c r="L53" s="10">
        <v>692.41</v>
      </c>
      <c r="M53" s="12">
        <f t="shared" si="19"/>
        <v>722.67</v>
      </c>
      <c r="N53" s="12">
        <f t="shared" si="20"/>
        <v>30.26</v>
      </c>
    </row>
    <row r="54">
      <c r="B54" s="10" t="s">
        <v>20</v>
      </c>
      <c r="C54" s="21">
        <v>46052.0</v>
      </c>
      <c r="K54" s="10">
        <v>13.0</v>
      </c>
      <c r="L54" s="10">
        <v>692.41</v>
      </c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>
      <c r="B56" s="10" t="s">
        <v>16</v>
      </c>
      <c r="C56" s="11">
        <v>46069.66666666667</v>
      </c>
      <c r="D56" s="12">
        <v>55.5</v>
      </c>
      <c r="E56" s="12">
        <v>55.58</v>
      </c>
      <c r="F56" s="12">
        <v>55.31</v>
      </c>
      <c r="G56" s="12">
        <v>55.35</v>
      </c>
      <c r="K56" s="10">
        <v>13.0</v>
      </c>
      <c r="L56" s="10">
        <v>692.41</v>
      </c>
      <c r="M56" s="12">
        <f t="shared" ref="M56:M60" si="21">K56*G56</f>
        <v>719.55</v>
      </c>
      <c r="N56" s="12">
        <f t="shared" ref="N56:N60" si="22">M56-L56</f>
        <v>27.14</v>
      </c>
    </row>
    <row r="57">
      <c r="B57" s="10" t="s">
        <v>17</v>
      </c>
      <c r="C57" s="11">
        <v>46070.66666666667</v>
      </c>
      <c r="D57" s="12">
        <v>55.5</v>
      </c>
      <c r="E57" s="12">
        <v>55.89</v>
      </c>
      <c r="F57" s="12">
        <v>55.23</v>
      </c>
      <c r="G57" s="12">
        <v>55.23</v>
      </c>
      <c r="K57" s="10">
        <v>13.0</v>
      </c>
      <c r="L57" s="10">
        <v>692.41</v>
      </c>
      <c r="M57" s="12">
        <f t="shared" si="21"/>
        <v>717.99</v>
      </c>
      <c r="N57" s="12">
        <f t="shared" si="22"/>
        <v>25.58</v>
      </c>
    </row>
    <row r="58">
      <c r="B58" s="10" t="s">
        <v>18</v>
      </c>
      <c r="C58" s="11">
        <v>46071.66666666667</v>
      </c>
      <c r="D58" s="12">
        <v>55.63</v>
      </c>
      <c r="E58" s="12">
        <v>55.75</v>
      </c>
      <c r="F58" s="12">
        <v>55.5</v>
      </c>
      <c r="G58" s="12">
        <v>55.75</v>
      </c>
      <c r="K58" s="10">
        <v>13.0</v>
      </c>
      <c r="L58" s="10">
        <v>692.41</v>
      </c>
      <c r="M58" s="12">
        <f t="shared" si="21"/>
        <v>724.75</v>
      </c>
      <c r="N58" s="12">
        <f t="shared" si="22"/>
        <v>32.34</v>
      </c>
    </row>
    <row r="59">
      <c r="B59" s="10" t="s">
        <v>19</v>
      </c>
      <c r="C59" s="11">
        <v>46072.66666666667</v>
      </c>
      <c r="D59" s="12">
        <v>55.88</v>
      </c>
      <c r="E59" s="12">
        <v>56.25</v>
      </c>
      <c r="F59" s="12">
        <v>55.88</v>
      </c>
      <c r="G59" s="12">
        <v>56.12</v>
      </c>
      <c r="K59" s="10">
        <v>13.0</v>
      </c>
      <c r="L59" s="10">
        <v>692.41</v>
      </c>
      <c r="M59" s="12">
        <f t="shared" si="21"/>
        <v>729.56</v>
      </c>
      <c r="N59" s="12">
        <f t="shared" si="22"/>
        <v>37.15</v>
      </c>
    </row>
    <row r="60">
      <c r="A60" s="6" t="s">
        <v>15</v>
      </c>
      <c r="B60" s="6" t="s">
        <v>20</v>
      </c>
      <c r="C60" s="18">
        <v>46073.66666666667</v>
      </c>
      <c r="D60" s="7">
        <v>55.99</v>
      </c>
      <c r="E60" s="7">
        <v>56.15</v>
      </c>
      <c r="F60" s="7">
        <v>55.81</v>
      </c>
      <c r="G60" s="7">
        <v>56.02</v>
      </c>
      <c r="H60" s="7"/>
      <c r="I60" s="6">
        <v>1.0</v>
      </c>
      <c r="J60" s="6">
        <v>56.14</v>
      </c>
      <c r="K60" s="6">
        <v>14.0</v>
      </c>
      <c r="L60" s="6">
        <f>L59+J60</f>
        <v>748.55</v>
      </c>
      <c r="M60" s="7">
        <f t="shared" si="21"/>
        <v>784.28</v>
      </c>
      <c r="N60" s="7">
        <f t="shared" si="22"/>
        <v>35.73</v>
      </c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>
      <c r="A62" s="6" t="s">
        <v>15</v>
      </c>
      <c r="B62" s="7"/>
      <c r="C62" s="8">
        <v>46105.0</v>
      </c>
      <c r="D62" s="7"/>
      <c r="E62" s="7"/>
      <c r="F62" s="7"/>
      <c r="G62" s="7"/>
      <c r="H62" s="7"/>
      <c r="I62" s="6">
        <v>1.0</v>
      </c>
      <c r="J62" s="6">
        <v>52.71</v>
      </c>
      <c r="K62" s="6">
        <v>15.0</v>
      </c>
      <c r="L62" s="6">
        <f>L60+J62</f>
        <v>801.26</v>
      </c>
      <c r="M62" s="7"/>
      <c r="N62" s="7"/>
    </row>
    <row r="63">
      <c r="A63" s="6" t="s">
        <v>15</v>
      </c>
      <c r="B63" s="7"/>
      <c r="C63" s="8">
        <v>46136.0</v>
      </c>
      <c r="D63" s="7"/>
      <c r="E63" s="7"/>
      <c r="F63" s="7"/>
      <c r="G63" s="7"/>
      <c r="H63" s="7"/>
      <c r="I63" s="6">
        <v>1.0</v>
      </c>
      <c r="J63" s="6">
        <v>55.59</v>
      </c>
      <c r="K63" s="6">
        <v>16.0</v>
      </c>
      <c r="L63" s="6">
        <f t="shared" ref="L63:L64" si="23">L62+J63</f>
        <v>856.85</v>
      </c>
      <c r="M63" s="7"/>
      <c r="N63" s="7"/>
    </row>
    <row r="64">
      <c r="A64" s="6" t="s">
        <v>15</v>
      </c>
      <c r="B64" s="7"/>
      <c r="C64" s="8">
        <v>46157.0</v>
      </c>
      <c r="D64" s="7"/>
      <c r="E64" s="7"/>
      <c r="F64" s="7"/>
      <c r="G64" s="7"/>
      <c r="H64" s="7"/>
      <c r="I64" s="6">
        <v>1.0</v>
      </c>
      <c r="J64" s="6">
        <v>56.41</v>
      </c>
      <c r="K64" s="6">
        <v>17.0</v>
      </c>
      <c r="L64" s="6">
        <f t="shared" si="23"/>
        <v>913.26</v>
      </c>
      <c r="M64" s="7"/>
      <c r="N64" s="7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>
      <c r="B66" s="10" t="s">
        <v>16</v>
      </c>
      <c r="C66" s="11">
        <v>46160.66666666667</v>
      </c>
      <c r="D66" s="12">
        <v>56.16</v>
      </c>
      <c r="E66" s="12">
        <v>56.16</v>
      </c>
      <c r="F66" s="12">
        <v>55.55</v>
      </c>
      <c r="G66" s="12">
        <v>55.55</v>
      </c>
      <c r="K66" s="22">
        <v>17.0</v>
      </c>
      <c r="L66" s="22">
        <v>913.26</v>
      </c>
      <c r="M66" s="17">
        <f t="shared" ref="M66:M70" si="24">K66*G66</f>
        <v>944.35</v>
      </c>
      <c r="N66" s="17">
        <f t="shared" ref="N66:N70" si="25">M66-L66</f>
        <v>31.09</v>
      </c>
      <c r="O66" s="17"/>
    </row>
    <row r="67">
      <c r="B67" s="10" t="s">
        <v>17</v>
      </c>
      <c r="C67" s="11">
        <v>46161.66666666667</v>
      </c>
      <c r="D67" s="12">
        <v>55.93</v>
      </c>
      <c r="E67" s="12">
        <v>56.22</v>
      </c>
      <c r="F67" s="12">
        <v>55.93</v>
      </c>
      <c r="G67" s="12">
        <v>55.98</v>
      </c>
      <c r="K67" s="22">
        <v>17.0</v>
      </c>
      <c r="L67" s="22">
        <v>913.26</v>
      </c>
      <c r="M67" s="17">
        <f t="shared" si="24"/>
        <v>951.66</v>
      </c>
      <c r="N67" s="17">
        <f t="shared" si="25"/>
        <v>38.4</v>
      </c>
    </row>
    <row r="68">
      <c r="B68" s="10" t="s">
        <v>18</v>
      </c>
      <c r="C68" s="11">
        <v>46162.66666666667</v>
      </c>
      <c r="D68" s="12">
        <v>56.0</v>
      </c>
      <c r="E68" s="12">
        <v>56.08</v>
      </c>
      <c r="F68" s="12">
        <v>55.62</v>
      </c>
      <c r="G68" s="12">
        <v>55.77</v>
      </c>
      <c r="K68" s="22">
        <v>17.0</v>
      </c>
      <c r="L68" s="22">
        <v>913.26</v>
      </c>
      <c r="M68" s="17">
        <f t="shared" si="24"/>
        <v>948.09</v>
      </c>
      <c r="N68" s="17">
        <f t="shared" si="25"/>
        <v>34.83</v>
      </c>
    </row>
    <row r="69">
      <c r="B69" s="10" t="s">
        <v>19</v>
      </c>
      <c r="C69" s="11">
        <v>46163.66666666667</v>
      </c>
      <c r="D69" s="12">
        <v>56.2</v>
      </c>
      <c r="E69" s="12">
        <v>56.62</v>
      </c>
      <c r="F69" s="12">
        <v>56.15</v>
      </c>
      <c r="G69" s="12">
        <v>56.31</v>
      </c>
      <c r="K69" s="22">
        <v>17.0</v>
      </c>
      <c r="L69" s="22">
        <v>913.26</v>
      </c>
      <c r="M69" s="17">
        <f t="shared" si="24"/>
        <v>957.27</v>
      </c>
      <c r="N69" s="17">
        <f t="shared" si="25"/>
        <v>44.01</v>
      </c>
    </row>
    <row r="70">
      <c r="B70" s="10" t="s">
        <v>20</v>
      </c>
      <c r="C70" s="11">
        <v>46164.66666666667</v>
      </c>
      <c r="D70" s="12">
        <v>56.55</v>
      </c>
      <c r="E70" s="12">
        <v>56.85</v>
      </c>
      <c r="F70" s="12">
        <v>56.55</v>
      </c>
      <c r="G70" s="12">
        <v>56.77</v>
      </c>
      <c r="K70" s="22">
        <v>17.0</v>
      </c>
      <c r="L70" s="22">
        <v>913.26</v>
      </c>
      <c r="M70" s="17">
        <f t="shared" si="24"/>
        <v>965.09</v>
      </c>
      <c r="N70" s="17">
        <f t="shared" si="25"/>
        <v>51.83</v>
      </c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>
      <c r="B72" s="10" t="s">
        <v>16</v>
      </c>
      <c r="C72" s="11">
        <v>46188.66666666667</v>
      </c>
      <c r="D72" s="12">
        <v>57.6</v>
      </c>
      <c r="E72" s="12">
        <v>58.35</v>
      </c>
      <c r="F72" s="12">
        <v>57.6</v>
      </c>
      <c r="G72" s="12">
        <v>58.29</v>
      </c>
      <c r="K72" s="22">
        <v>17.0</v>
      </c>
      <c r="L72" s="22">
        <v>913.26</v>
      </c>
      <c r="M72" s="17">
        <f t="shared" ref="M72:M76" si="26">K72*G72</f>
        <v>990.93</v>
      </c>
      <c r="N72" s="17">
        <f t="shared" ref="N72:N76" si="27">M72-L72</f>
        <v>77.67</v>
      </c>
    </row>
    <row r="73">
      <c r="B73" s="10" t="s">
        <v>17</v>
      </c>
      <c r="C73" s="11">
        <v>46189.66666666667</v>
      </c>
      <c r="D73" s="12">
        <v>58.15</v>
      </c>
      <c r="E73" s="12">
        <v>58.5</v>
      </c>
      <c r="F73" s="12">
        <v>58.03</v>
      </c>
      <c r="G73" s="12">
        <v>58.32</v>
      </c>
      <c r="K73" s="22">
        <v>17.0</v>
      </c>
      <c r="L73" s="22">
        <v>913.26</v>
      </c>
      <c r="M73" s="17">
        <f t="shared" si="26"/>
        <v>991.44</v>
      </c>
      <c r="N73" s="17">
        <f t="shared" si="27"/>
        <v>78.18</v>
      </c>
    </row>
    <row r="74">
      <c r="B74" s="10" t="s">
        <v>18</v>
      </c>
      <c r="C74" s="11">
        <v>46190.66666666667</v>
      </c>
      <c r="D74" s="12">
        <v>58.22</v>
      </c>
      <c r="E74" s="12">
        <v>58.55</v>
      </c>
      <c r="F74" s="12">
        <v>58.15</v>
      </c>
      <c r="G74" s="12">
        <v>58.54</v>
      </c>
      <c r="K74" s="22">
        <v>17.0</v>
      </c>
      <c r="L74" s="22">
        <v>913.26</v>
      </c>
      <c r="M74" s="17">
        <f t="shared" si="26"/>
        <v>995.18</v>
      </c>
      <c r="N74" s="17">
        <f t="shared" si="27"/>
        <v>81.92</v>
      </c>
    </row>
    <row r="75">
      <c r="B75" s="10" t="s">
        <v>19</v>
      </c>
      <c r="C75" s="11">
        <v>46191.66666666667</v>
      </c>
      <c r="D75" s="12">
        <v>58.43</v>
      </c>
      <c r="E75" s="12">
        <v>58.55</v>
      </c>
      <c r="F75" s="12">
        <v>58.29</v>
      </c>
      <c r="G75" s="12">
        <v>58.36</v>
      </c>
      <c r="K75" s="22">
        <v>17.0</v>
      </c>
      <c r="L75" s="22">
        <v>913.26</v>
      </c>
      <c r="M75" s="17">
        <f t="shared" si="26"/>
        <v>992.12</v>
      </c>
      <c r="N75" s="17">
        <f t="shared" si="27"/>
        <v>78.86</v>
      </c>
    </row>
    <row r="76">
      <c r="A76" s="7"/>
      <c r="B76" s="6" t="s">
        <v>20</v>
      </c>
      <c r="C76" s="18">
        <v>46192.66666666667</v>
      </c>
      <c r="D76" s="7">
        <v>58.35</v>
      </c>
      <c r="E76" s="7">
        <v>58.35</v>
      </c>
      <c r="F76" s="7">
        <v>57.99</v>
      </c>
      <c r="G76" s="7">
        <v>58.05</v>
      </c>
      <c r="H76" s="6">
        <v>58.17</v>
      </c>
      <c r="I76" s="6">
        <v>1.0</v>
      </c>
      <c r="J76" s="6">
        <v>58.17</v>
      </c>
      <c r="K76" s="6">
        <v>18.0</v>
      </c>
      <c r="L76" s="7">
        <f>L75+J76</f>
        <v>971.43</v>
      </c>
      <c r="M76" s="7">
        <f t="shared" si="26"/>
        <v>1044.9</v>
      </c>
      <c r="N76" s="7">
        <f t="shared" si="27"/>
        <v>73.47</v>
      </c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518">
      <c r="H518" s="17"/>
      <c r="I518" s="17"/>
      <c r="J518" s="17"/>
      <c r="K518" s="17"/>
      <c r="L518" s="17"/>
      <c r="M518" s="17"/>
      <c r="N518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4"/>
      <c r="C1" s="24"/>
      <c r="D1" s="24"/>
      <c r="E1" s="24"/>
      <c r="G1" s="10" t="s">
        <v>24</v>
      </c>
    </row>
    <row r="2">
      <c r="B2" s="25" t="s">
        <v>25</v>
      </c>
      <c r="C2" s="26">
        <f>TODAY()-7</f>
        <v>46193</v>
      </c>
      <c r="D2" s="10" t="s">
        <v>26</v>
      </c>
      <c r="E2" s="26">
        <f>TODAY()</f>
        <v>46200</v>
      </c>
    </row>
    <row r="4">
      <c r="A4" s="10" t="s">
        <v>2</v>
      </c>
      <c r="B4" s="10" t="str">
        <f>IFERROR(__xludf.DUMMYFUNCTION("GOOGLEFINANCE(G1,""all"",C2,E2)"),"Date")</f>
        <v>Date</v>
      </c>
      <c r="C4" s="12" t="str">
        <f>IFERROR(__xludf.DUMMYFUNCTION("""COMPUTED_VALUE"""),"Open")</f>
        <v>Open</v>
      </c>
      <c r="D4" s="12" t="str">
        <f>IFERROR(__xludf.DUMMYFUNCTION("""COMPUTED_VALUE"""),"High")</f>
        <v>High</v>
      </c>
      <c r="E4" s="12" t="str">
        <f>IFERROR(__xludf.DUMMYFUNCTION("""COMPUTED_VALUE"""),"Low")</f>
        <v>Low</v>
      </c>
      <c r="F4" s="12" t="str">
        <f>IFERROR(__xludf.DUMMYFUNCTION("""COMPUTED_VALUE"""),"Close")</f>
        <v>Close</v>
      </c>
      <c r="G4" s="12" t="str">
        <f>IFERROR(__xludf.DUMMYFUNCTION("""COMPUTED_VALUE"""),"Volume")</f>
        <v>Volume</v>
      </c>
    </row>
    <row r="5">
      <c r="A5" s="10" t="s">
        <v>16</v>
      </c>
      <c r="B5" s="11">
        <f>IFERROR(__xludf.DUMMYFUNCTION("""COMPUTED_VALUE"""),46195.66666666667)</f>
        <v>46195.66667</v>
      </c>
      <c r="C5" s="12">
        <f>IFERROR(__xludf.DUMMYFUNCTION("""COMPUTED_VALUE"""),58.02)</f>
        <v>58.02</v>
      </c>
      <c r="D5" s="12">
        <f>IFERROR(__xludf.DUMMYFUNCTION("""COMPUTED_VALUE"""),58.29)</f>
        <v>58.29</v>
      </c>
      <c r="E5" s="12">
        <f>IFERROR(__xludf.DUMMYFUNCTION("""COMPUTED_VALUE"""),57.95)</f>
        <v>57.95</v>
      </c>
      <c r="F5" s="12">
        <f>IFERROR(__xludf.DUMMYFUNCTION("""COMPUTED_VALUE"""),58.1)</f>
        <v>58.1</v>
      </c>
      <c r="G5" s="12">
        <f>IFERROR(__xludf.DUMMYFUNCTION("""COMPUTED_VALUE"""),54827.0)</f>
        <v>54827</v>
      </c>
    </row>
    <row r="6">
      <c r="A6" s="10" t="s">
        <v>17</v>
      </c>
      <c r="B6" s="11">
        <f>IFERROR(__xludf.DUMMYFUNCTION("""COMPUTED_VALUE"""),46196.66666666667)</f>
        <v>46196.66667</v>
      </c>
      <c r="C6" s="12">
        <f>IFERROR(__xludf.DUMMYFUNCTION("""COMPUTED_VALUE"""),58.3)</f>
        <v>58.3</v>
      </c>
      <c r="D6" s="12">
        <f>IFERROR(__xludf.DUMMYFUNCTION("""COMPUTED_VALUE"""),58.34)</f>
        <v>58.34</v>
      </c>
      <c r="E6" s="12">
        <f>IFERROR(__xludf.DUMMYFUNCTION("""COMPUTED_VALUE"""),57.81)</f>
        <v>57.81</v>
      </c>
      <c r="F6" s="12">
        <f>IFERROR(__xludf.DUMMYFUNCTION("""COMPUTED_VALUE"""),57.81)</f>
        <v>57.81</v>
      </c>
      <c r="G6" s="12">
        <f>IFERROR(__xludf.DUMMYFUNCTION("""COMPUTED_VALUE"""),35990.0)</f>
        <v>35990</v>
      </c>
    </row>
    <row r="7">
      <c r="A7" s="10" t="s">
        <v>18</v>
      </c>
      <c r="B7" s="11">
        <f>IFERROR(__xludf.DUMMYFUNCTION("""COMPUTED_VALUE"""),46197.66666666667)</f>
        <v>46197.66667</v>
      </c>
      <c r="C7" s="12">
        <f>IFERROR(__xludf.DUMMYFUNCTION("""COMPUTED_VALUE"""),58.02)</f>
        <v>58.02</v>
      </c>
      <c r="D7" s="12">
        <f>IFERROR(__xludf.DUMMYFUNCTION("""COMPUTED_VALUE"""),58.18)</f>
        <v>58.18</v>
      </c>
      <c r="E7" s="12">
        <f>IFERROR(__xludf.DUMMYFUNCTION("""COMPUTED_VALUE"""),57.83)</f>
        <v>57.83</v>
      </c>
      <c r="F7" s="12">
        <f>IFERROR(__xludf.DUMMYFUNCTION("""COMPUTED_VALUE"""),57.99)</f>
        <v>57.99</v>
      </c>
      <c r="G7" s="12">
        <f>IFERROR(__xludf.DUMMYFUNCTION("""COMPUTED_VALUE"""),14289.0)</f>
        <v>14289</v>
      </c>
    </row>
    <row r="8">
      <c r="A8" s="10" t="s">
        <v>19</v>
      </c>
      <c r="B8" s="11">
        <f>IFERROR(__xludf.DUMMYFUNCTION("""COMPUTED_VALUE"""),46198.66666666667)</f>
        <v>46198.66667</v>
      </c>
      <c r="C8" s="12">
        <f>IFERROR(__xludf.DUMMYFUNCTION("""COMPUTED_VALUE"""),58.3)</f>
        <v>58.3</v>
      </c>
      <c r="D8" s="12">
        <f>IFERROR(__xludf.DUMMYFUNCTION("""COMPUTED_VALUE"""),58.31)</f>
        <v>58.31</v>
      </c>
      <c r="E8" s="12">
        <f>IFERROR(__xludf.DUMMYFUNCTION("""COMPUTED_VALUE"""),57.93)</f>
        <v>57.93</v>
      </c>
      <c r="F8" s="12">
        <f>IFERROR(__xludf.DUMMYFUNCTION("""COMPUTED_VALUE"""),57.93)</f>
        <v>57.93</v>
      </c>
      <c r="G8" s="12">
        <f>IFERROR(__xludf.DUMMYFUNCTION("""COMPUTED_VALUE"""),22823.0)</f>
        <v>22823</v>
      </c>
    </row>
    <row r="9">
      <c r="A9" s="10" t="s">
        <v>20</v>
      </c>
      <c r="B9" s="11">
        <f>IFERROR(__xludf.DUMMYFUNCTION("""COMPUTED_VALUE"""),46199.66666666667)</f>
        <v>46199.66667</v>
      </c>
      <c r="C9" s="12">
        <f>IFERROR(__xludf.DUMMYFUNCTION("""COMPUTED_VALUE"""),57.88)</f>
        <v>57.88</v>
      </c>
      <c r="D9" s="12">
        <f>IFERROR(__xludf.DUMMYFUNCTION("""COMPUTED_VALUE"""),58.03)</f>
        <v>58.03</v>
      </c>
      <c r="E9" s="12">
        <f>IFERROR(__xludf.DUMMYFUNCTION("""COMPUTED_VALUE"""),57.52)</f>
        <v>57.52</v>
      </c>
      <c r="F9" s="12">
        <f>IFERROR(__xludf.DUMMYFUNCTION("""COMPUTED_VALUE"""),57.7)</f>
        <v>57.7</v>
      </c>
      <c r="G9" s="12">
        <f>IFERROR(__xludf.DUMMYFUNCTION("""COMPUTED_VALUE"""),27687.0)</f>
        <v>27687</v>
      </c>
    </row>
  </sheetData>
  <drawing r:id="rId1"/>
</worksheet>
</file>