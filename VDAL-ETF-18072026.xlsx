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Vanguard Diversified All Growth" sheetId="1" r:id="rId1"/>
    <sheet name="VDAL Historial Data" sheetId="2" r:id="rId2"/>
  </sheets>
  <calcPr calcId="125725"/>
</workbook>
</file>

<file path=xl/calcChain.xml><?xml version="1.0" encoding="utf-8"?>
<calcChain xmlns="http://schemas.openxmlformats.org/spreadsheetml/2006/main">
  <c r="E2" i="2"/>
  <c r="C2"/>
  <c r="M87" i="1"/>
  <c r="N87" s="1"/>
  <c r="L87"/>
  <c r="K87"/>
  <c r="M86"/>
  <c r="N86" s="1"/>
  <c r="N85"/>
  <c r="M85"/>
  <c r="M84"/>
  <c r="N84" s="1"/>
  <c r="L84"/>
  <c r="K84"/>
  <c r="M82"/>
  <c r="N82" s="1"/>
  <c r="N80"/>
  <c r="M80"/>
  <c r="M79"/>
  <c r="N79" s="1"/>
  <c r="N78"/>
  <c r="M78"/>
  <c r="M77"/>
  <c r="N77" s="1"/>
  <c r="N76"/>
  <c r="M76"/>
  <c r="M74"/>
  <c r="N74" s="1"/>
  <c r="L74"/>
  <c r="N73"/>
  <c r="M73"/>
  <c r="N72"/>
  <c r="M72"/>
  <c r="N71"/>
  <c r="M71"/>
  <c r="N70"/>
  <c r="M70"/>
  <c r="N68"/>
  <c r="M68"/>
  <c r="N67"/>
  <c r="M67"/>
  <c r="N66"/>
  <c r="M66"/>
  <c r="N65"/>
  <c r="M65"/>
  <c r="N64"/>
  <c r="M64"/>
  <c r="M58"/>
  <c r="N58" s="1"/>
  <c r="L58"/>
  <c r="L60" s="1"/>
  <c r="L61" s="1"/>
  <c r="L62" s="1"/>
  <c r="N57"/>
  <c r="M57"/>
  <c r="N56"/>
  <c r="M56"/>
  <c r="N55"/>
  <c r="M55"/>
  <c r="N54"/>
  <c r="M54"/>
  <c r="N51"/>
  <c r="M51"/>
  <c r="N50"/>
  <c r="M50"/>
  <c r="N49"/>
  <c r="M49"/>
  <c r="L47"/>
  <c r="K47"/>
  <c r="N46"/>
  <c r="M46"/>
  <c r="N45"/>
  <c r="M45"/>
  <c r="N44"/>
  <c r="M44"/>
  <c r="N43"/>
  <c r="M43"/>
  <c r="N41"/>
  <c r="M41"/>
  <c r="N40"/>
  <c r="M40"/>
  <c r="N39"/>
  <c r="M39"/>
  <c r="N38"/>
  <c r="M38"/>
  <c r="N37"/>
  <c r="M37"/>
  <c r="J32"/>
  <c r="J31"/>
  <c r="L30"/>
  <c r="L31" s="1"/>
  <c r="L32" s="1"/>
  <c r="L34" s="1"/>
  <c r="L35" s="1"/>
  <c r="L36" s="1"/>
  <c r="K30"/>
  <c r="K31" s="1"/>
  <c r="K32" s="1"/>
  <c r="J30"/>
  <c r="N27"/>
  <c r="M27"/>
  <c r="N26"/>
  <c r="M26"/>
  <c r="N25"/>
  <c r="M25"/>
  <c r="N24"/>
  <c r="M24"/>
  <c r="N23"/>
  <c r="M23"/>
  <c r="N21"/>
  <c r="M21"/>
  <c r="N20"/>
  <c r="M20"/>
  <c r="N19"/>
  <c r="M19"/>
  <c r="N18"/>
  <c r="M18"/>
  <c r="N17"/>
  <c r="M17"/>
  <c r="F16"/>
  <c r="N15"/>
  <c r="M15"/>
  <c r="M14"/>
  <c r="N14" s="1"/>
  <c r="N13"/>
  <c r="M13"/>
  <c r="M12"/>
  <c r="N12" s="1"/>
  <c r="N11"/>
  <c r="M11"/>
  <c r="F10"/>
  <c r="N9"/>
  <c r="M9"/>
  <c r="N8"/>
  <c r="M8"/>
  <c r="N7"/>
  <c r="M7"/>
  <c r="N6"/>
  <c r="M6"/>
  <c r="N5"/>
  <c r="M5"/>
  <c r="C9" i="2"/>
  <c r="F9"/>
  <c r="C7"/>
  <c r="F7"/>
  <c r="E9"/>
  <c r="G6"/>
  <c r="D5"/>
  <c r="E4"/>
  <c r="G5"/>
  <c r="B7"/>
  <c r="B6"/>
  <c r="E5"/>
  <c r="D9"/>
  <c r="B4"/>
  <c r="F8"/>
  <c r="D4"/>
  <c r="C6"/>
  <c r="B9"/>
  <c r="F4"/>
  <c r="E7"/>
  <c r="F6"/>
  <c r="D7"/>
  <c r="C5"/>
  <c r="E8"/>
  <c r="F5"/>
  <c r="B5"/>
  <c r="C8"/>
  <c r="G9"/>
  <c r="G7"/>
  <c r="E6"/>
  <c r="G8"/>
  <c r="G4"/>
  <c r="D6"/>
  <c r="B8"/>
  <c r="D8"/>
  <c r="C4"/>
</calcChain>
</file>

<file path=xl/sharedStrings.xml><?xml version="1.0" encoding="utf-8"?>
<sst xmlns="http://schemas.openxmlformats.org/spreadsheetml/2006/main" count="113" uniqueCount="34">
  <si>
    <t>Transcation Type</t>
  </si>
  <si>
    <t>DAY</t>
  </si>
  <si>
    <t>DATE</t>
  </si>
  <si>
    <t xml:space="preserve">OPEN </t>
  </si>
  <si>
    <t xml:space="preserve">HIGH </t>
  </si>
  <si>
    <t xml:space="preserve">LOW </t>
  </si>
  <si>
    <t xml:space="preserve">close </t>
  </si>
  <si>
    <t>Buy Price</t>
  </si>
  <si>
    <t>Share Quntity</t>
  </si>
  <si>
    <t>Investment</t>
  </si>
  <si>
    <t>Total Holding</t>
  </si>
  <si>
    <t xml:space="preserve"> Total Basic Investment</t>
  </si>
  <si>
    <t>Value at close</t>
  </si>
  <si>
    <t>Profit /Loss</t>
  </si>
  <si>
    <t>Units Sold</t>
  </si>
  <si>
    <t>Sell Price</t>
  </si>
  <si>
    <t>Profit Booked</t>
  </si>
  <si>
    <t>Total Profit Booked</t>
  </si>
  <si>
    <t>SIP</t>
  </si>
  <si>
    <t>MON</t>
  </si>
  <si>
    <t>TUE</t>
  </si>
  <si>
    <t>WED</t>
  </si>
  <si>
    <t>THU</t>
  </si>
  <si>
    <t>FRI</t>
  </si>
  <si>
    <t>Next week Triggre Price</t>
  </si>
  <si>
    <t>MIN:</t>
  </si>
  <si>
    <t>HOLIDAY</t>
  </si>
  <si>
    <r>
      <rPr>
        <b/>
        <i/>
        <sz val="10"/>
        <color theme="1"/>
        <rFont val="Arial"/>
      </rPr>
      <t>O</t>
    </r>
    <r>
      <rPr>
        <b/>
        <i/>
        <sz val="10"/>
        <color theme="1"/>
        <rFont val="Arial"/>
      </rPr>
      <t>n 06/07/2026</t>
    </r>
  </si>
  <si>
    <t xml:space="preserve"> SELL  2 shares Price : $116.02</t>
  </si>
  <si>
    <t xml:space="preserve">Total shares remaing:  </t>
  </si>
  <si>
    <t>Vanguard Diversified All Growth Index ETF</t>
  </si>
  <si>
    <t>ASX:VDAL</t>
  </si>
  <si>
    <t xml:space="preserve">Start Date: </t>
  </si>
  <si>
    <t xml:space="preserve">End Date: 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</si>
</sst>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m/d/yyyy\ h:mm:ss"/>
    <numFmt numFmtId="166" formatCode="d/m/yyyy"/>
  </numFmts>
  <fonts count="9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0"/>
      <color theme="1"/>
      <name val="Arial"/>
    </font>
    <font>
      <b/>
      <i/>
      <sz val="10"/>
      <color theme="1"/>
      <name val="Arial"/>
      <scheme val="minor"/>
    </font>
    <font>
      <b/>
      <sz val="21"/>
      <color rgb="FF1F1F1F"/>
      <name val="&quot;Google Sans&quot;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/>
    <xf numFmtId="0" fontId="3" fillId="2" borderId="0" xfId="0" applyFont="1" applyFill="1" applyAlignment="1"/>
    <xf numFmtId="0" fontId="4" fillId="4" borderId="0" xfId="0" applyFont="1" applyFill="1" applyAlignment="1"/>
    <xf numFmtId="0" fontId="4" fillId="4" borderId="0" xfId="0" applyFont="1" applyFill="1"/>
    <xf numFmtId="164" fontId="4" fillId="4" borderId="0" xfId="0" applyNumberFormat="1" applyFont="1" applyFill="1" applyAlignment="1"/>
    <xf numFmtId="0" fontId="4" fillId="5" borderId="0" xfId="0" applyFont="1" applyFill="1"/>
    <xf numFmtId="0" fontId="4" fillId="0" borderId="0" xfId="0" applyFont="1" applyAlignment="1"/>
    <xf numFmtId="164" fontId="4" fillId="0" borderId="0" xfId="0" applyNumberFormat="1" applyFont="1"/>
    <xf numFmtId="0" fontId="4" fillId="0" borderId="0" xfId="0" applyFont="1"/>
    <xf numFmtId="0" fontId="3" fillId="5" borderId="0" xfId="0" applyFont="1" applyFill="1" applyAlignment="1"/>
    <xf numFmtId="165" fontId="5" fillId="5" borderId="0" xfId="0" applyNumberFormat="1" applyFont="1" applyFill="1" applyAlignment="1"/>
    <xf numFmtId="0" fontId="5" fillId="5" borderId="0" xfId="0" applyFont="1" applyFill="1" applyAlignment="1"/>
    <xf numFmtId="0" fontId="5" fillId="5" borderId="0" xfId="0" applyFont="1" applyFill="1" applyAlignment="1">
      <alignment horizontal="right"/>
    </xf>
    <xf numFmtId="0" fontId="4" fillId="6" borderId="0" xfId="0" applyFont="1" applyFill="1"/>
    <xf numFmtId="164" fontId="4" fillId="4" borderId="0" xfId="0" applyNumberFormat="1" applyFont="1" applyFill="1"/>
    <xf numFmtId="166" fontId="4" fillId="4" borderId="0" xfId="0" applyNumberFormat="1" applyFont="1" applyFill="1" applyAlignment="1"/>
    <xf numFmtId="165" fontId="4" fillId="0" borderId="0" xfId="0" applyNumberFormat="1" applyFont="1"/>
    <xf numFmtId="164" fontId="4" fillId="0" borderId="0" xfId="0" applyNumberFormat="1" applyFont="1" applyAlignment="1"/>
    <xf numFmtId="0" fontId="4" fillId="6" borderId="0" xfId="0" applyFont="1" applyFill="1" applyAlignment="1"/>
    <xf numFmtId="164" fontId="4" fillId="6" borderId="0" xfId="0" applyNumberFormat="1" applyFont="1" applyFill="1"/>
    <xf numFmtId="0" fontId="4" fillId="7" borderId="0" xfId="0" applyFont="1" applyFill="1"/>
    <xf numFmtId="0" fontId="4" fillId="7" borderId="0" xfId="0" applyFont="1" applyFill="1" applyAlignment="1"/>
    <xf numFmtId="0" fontId="6" fillId="7" borderId="0" xfId="0" applyFont="1" applyFill="1" applyAlignment="1"/>
    <xf numFmtId="0" fontId="6" fillId="7" borderId="0" xfId="0" applyFont="1" applyFill="1"/>
    <xf numFmtId="0" fontId="7" fillId="6" borderId="0" xfId="0" applyFont="1" applyFill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S51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9.42578125" customWidth="1"/>
    <col min="15" max="15" width="5.85546875" customWidth="1"/>
  </cols>
  <sheetData>
    <row r="1" spans="1:19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P1" s="4" t="s">
        <v>14</v>
      </c>
      <c r="Q1" s="4" t="s">
        <v>15</v>
      </c>
      <c r="R1" s="5" t="s">
        <v>16</v>
      </c>
      <c r="S1" s="5" t="s">
        <v>17</v>
      </c>
    </row>
    <row r="2" spans="1:19" ht="12.75">
      <c r="A2" s="6" t="s">
        <v>18</v>
      </c>
      <c r="B2" s="7"/>
      <c r="C2" s="8">
        <v>45758</v>
      </c>
      <c r="D2" s="7"/>
      <c r="E2" s="7"/>
      <c r="F2" s="7"/>
      <c r="G2" s="7"/>
      <c r="H2" s="6">
        <v>46</v>
      </c>
      <c r="I2" s="6">
        <v>2</v>
      </c>
      <c r="J2" s="6">
        <v>92</v>
      </c>
      <c r="K2" s="6">
        <v>2</v>
      </c>
      <c r="L2" s="6">
        <v>92</v>
      </c>
    </row>
    <row r="3" spans="1:19" ht="12.75">
      <c r="A3" s="6" t="s">
        <v>18</v>
      </c>
      <c r="B3" s="7"/>
      <c r="C3" s="8">
        <v>45814</v>
      </c>
      <c r="D3" s="7"/>
      <c r="E3" s="7"/>
      <c r="F3" s="7"/>
      <c r="G3" s="7"/>
      <c r="H3" s="6">
        <v>51.66</v>
      </c>
      <c r="I3" s="6">
        <v>1</v>
      </c>
      <c r="J3" s="6">
        <v>51.66</v>
      </c>
      <c r="K3" s="6">
        <v>3</v>
      </c>
      <c r="L3" s="6">
        <v>143.66</v>
      </c>
    </row>
    <row r="4" spans="1:19" ht="12.7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9" ht="12.75">
      <c r="B5" s="10" t="s">
        <v>19</v>
      </c>
      <c r="C5" s="11">
        <v>45859.666666666672</v>
      </c>
      <c r="D5" s="12">
        <v>52.87</v>
      </c>
      <c r="E5" s="12">
        <v>52.87</v>
      </c>
      <c r="F5" s="12">
        <v>52.62</v>
      </c>
      <c r="G5" s="12">
        <v>52.69</v>
      </c>
      <c r="H5" s="7"/>
      <c r="K5" s="10">
        <v>3</v>
      </c>
      <c r="L5" s="10">
        <v>143.66</v>
      </c>
      <c r="M5" s="12">
        <f t="shared" ref="M5:M9" si="0">K5*G5</f>
        <v>158.07</v>
      </c>
      <c r="N5" s="12">
        <f t="shared" ref="N5:N9" si="1">M5-L5</f>
        <v>14.409999999999997</v>
      </c>
    </row>
    <row r="6" spans="1:19" ht="12.75">
      <c r="B6" s="10" t="s">
        <v>20</v>
      </c>
      <c r="C6" s="11">
        <v>45860.666666666672</v>
      </c>
      <c r="D6" s="12">
        <v>52.8</v>
      </c>
      <c r="E6" s="12">
        <v>52.9</v>
      </c>
      <c r="F6" s="12">
        <v>52.66</v>
      </c>
      <c r="G6" s="12">
        <v>52.66</v>
      </c>
      <c r="H6" s="7"/>
      <c r="K6" s="10">
        <v>3</v>
      </c>
      <c r="L6" s="10">
        <v>143.66</v>
      </c>
      <c r="M6" s="12">
        <f t="shared" si="0"/>
        <v>157.97999999999999</v>
      </c>
      <c r="N6" s="12">
        <f t="shared" si="1"/>
        <v>14.319999999999993</v>
      </c>
    </row>
    <row r="7" spans="1:19" ht="12.75">
      <c r="B7" s="10" t="s">
        <v>21</v>
      </c>
      <c r="C7" s="11">
        <v>45861.666666666672</v>
      </c>
      <c r="D7" s="12">
        <v>52.95</v>
      </c>
      <c r="E7" s="12">
        <v>52.98</v>
      </c>
      <c r="F7" s="12">
        <v>52.73</v>
      </c>
      <c r="G7" s="12">
        <v>52.97</v>
      </c>
      <c r="H7" s="7"/>
      <c r="K7" s="10">
        <v>3</v>
      </c>
      <c r="L7" s="10">
        <v>143.66</v>
      </c>
      <c r="M7" s="12">
        <f t="shared" si="0"/>
        <v>158.91</v>
      </c>
      <c r="N7" s="12">
        <f t="shared" si="1"/>
        <v>15.25</v>
      </c>
    </row>
    <row r="8" spans="1:19" ht="12.75">
      <c r="B8" s="10" t="s">
        <v>22</v>
      </c>
      <c r="C8" s="11">
        <v>45862.666666666672</v>
      </c>
      <c r="D8" s="12">
        <v>53.15</v>
      </c>
      <c r="E8" s="12">
        <v>53.15</v>
      </c>
      <c r="F8" s="12">
        <v>52.9</v>
      </c>
      <c r="G8" s="12">
        <v>52.96</v>
      </c>
      <c r="H8" s="7"/>
      <c r="K8" s="10">
        <v>3</v>
      </c>
      <c r="L8" s="10">
        <v>143.66</v>
      </c>
      <c r="M8" s="12">
        <f t="shared" si="0"/>
        <v>158.88</v>
      </c>
      <c r="N8" s="12">
        <f t="shared" si="1"/>
        <v>15.219999999999999</v>
      </c>
    </row>
    <row r="9" spans="1:19" ht="12.75">
      <c r="B9" s="10" t="s">
        <v>23</v>
      </c>
      <c r="C9" s="11">
        <v>45863.666666666672</v>
      </c>
      <c r="D9" s="12">
        <v>52.92</v>
      </c>
      <c r="E9" s="12">
        <v>52.98</v>
      </c>
      <c r="F9" s="12">
        <v>52.85</v>
      </c>
      <c r="G9" s="12">
        <v>52.91</v>
      </c>
      <c r="H9" s="7"/>
      <c r="K9" s="10">
        <v>3</v>
      </c>
      <c r="L9" s="10">
        <v>143.66</v>
      </c>
      <c r="M9" s="12">
        <f t="shared" si="0"/>
        <v>158.72999999999999</v>
      </c>
      <c r="N9" s="12">
        <f t="shared" si="1"/>
        <v>15.069999999999993</v>
      </c>
    </row>
    <row r="10" spans="1:19" ht="12.75">
      <c r="A10" s="9"/>
      <c r="B10" s="13"/>
      <c r="C10" s="14" t="s">
        <v>24</v>
      </c>
      <c r="D10" s="13"/>
      <c r="E10" s="15" t="s">
        <v>25</v>
      </c>
      <c r="F10" s="16">
        <f>MIN(F5:F9)</f>
        <v>52.62</v>
      </c>
      <c r="G10" s="9"/>
      <c r="H10" s="9"/>
      <c r="I10" s="9"/>
      <c r="J10" s="9"/>
      <c r="K10" s="9"/>
      <c r="L10" s="9"/>
      <c r="M10" s="9"/>
      <c r="N10" s="9"/>
    </row>
    <row r="11" spans="1:19" ht="12.75">
      <c r="A11" s="17"/>
      <c r="B11" s="10" t="s">
        <v>19</v>
      </c>
      <c r="C11" s="11">
        <v>45866.666666666672</v>
      </c>
      <c r="D11" s="12">
        <v>53.12</v>
      </c>
      <c r="E11" s="12">
        <v>53.28</v>
      </c>
      <c r="F11" s="12">
        <v>53.08</v>
      </c>
      <c r="G11" s="12">
        <v>53.28</v>
      </c>
      <c r="H11" s="7"/>
      <c r="K11" s="10">
        <v>3</v>
      </c>
      <c r="L11" s="10">
        <v>143.66</v>
      </c>
      <c r="M11" s="12">
        <f t="shared" ref="M11:M15" si="2">K11*G11</f>
        <v>159.84</v>
      </c>
      <c r="N11" s="12">
        <f t="shared" ref="N11:N15" si="3">M11-L11</f>
        <v>16.180000000000007</v>
      </c>
    </row>
    <row r="12" spans="1:19" ht="12.75">
      <c r="B12" s="10" t="s">
        <v>20</v>
      </c>
      <c r="C12" s="11">
        <v>45867.666666666672</v>
      </c>
      <c r="D12" s="12">
        <v>52.98</v>
      </c>
      <c r="E12" s="12">
        <v>53.14</v>
      </c>
      <c r="F12" s="12">
        <v>52.95</v>
      </c>
      <c r="G12" s="12">
        <v>53.02</v>
      </c>
      <c r="H12" s="7"/>
      <c r="K12" s="10">
        <v>3</v>
      </c>
      <c r="L12" s="10">
        <v>143.66</v>
      </c>
      <c r="M12" s="12">
        <f t="shared" si="2"/>
        <v>159.06</v>
      </c>
      <c r="N12" s="12">
        <f t="shared" si="3"/>
        <v>15.400000000000006</v>
      </c>
    </row>
    <row r="13" spans="1:19" ht="12.75">
      <c r="A13" s="6" t="s">
        <v>18</v>
      </c>
      <c r="B13" s="6" t="s">
        <v>21</v>
      </c>
      <c r="C13" s="18">
        <v>45868.666666666672</v>
      </c>
      <c r="D13" s="7">
        <v>53.11</v>
      </c>
      <c r="E13" s="7">
        <v>53.45</v>
      </c>
      <c r="F13" s="7">
        <v>53.05</v>
      </c>
      <c r="G13" s="7">
        <v>53.25</v>
      </c>
      <c r="H13" s="6">
        <v>53.31</v>
      </c>
      <c r="I13" s="6">
        <v>2</v>
      </c>
      <c r="J13" s="6">
        <v>106.62</v>
      </c>
      <c r="K13" s="6">
        <v>5</v>
      </c>
      <c r="L13" s="6">
        <v>250.28</v>
      </c>
      <c r="M13" s="7">
        <f t="shared" si="2"/>
        <v>266.25</v>
      </c>
      <c r="N13" s="7">
        <f t="shared" si="3"/>
        <v>15.969999999999999</v>
      </c>
    </row>
    <row r="14" spans="1:19" ht="12.75">
      <c r="B14" s="10" t="s">
        <v>22</v>
      </c>
      <c r="C14" s="11">
        <v>45869.666666666672</v>
      </c>
      <c r="D14" s="12">
        <v>53.51</v>
      </c>
      <c r="E14" s="12">
        <v>53.54</v>
      </c>
      <c r="F14" s="12">
        <v>53.35</v>
      </c>
      <c r="G14" s="12">
        <v>53.38</v>
      </c>
      <c r="H14" s="7"/>
      <c r="K14" s="10">
        <v>5</v>
      </c>
      <c r="L14" s="10">
        <v>250.28</v>
      </c>
      <c r="M14" s="12">
        <f t="shared" si="2"/>
        <v>266.90000000000003</v>
      </c>
      <c r="N14" s="12">
        <f t="shared" si="3"/>
        <v>16.620000000000033</v>
      </c>
    </row>
    <row r="15" spans="1:19" ht="12.75">
      <c r="B15" s="10" t="s">
        <v>23</v>
      </c>
      <c r="C15" s="11">
        <v>45870.666666666672</v>
      </c>
      <c r="D15" s="12">
        <v>53.06</v>
      </c>
      <c r="E15" s="12">
        <v>53.08</v>
      </c>
      <c r="F15" s="12">
        <v>52.88</v>
      </c>
      <c r="G15" s="12">
        <v>52.96</v>
      </c>
      <c r="H15" s="7"/>
      <c r="K15" s="10">
        <v>5</v>
      </c>
      <c r="L15" s="10">
        <v>250.28</v>
      </c>
      <c r="M15" s="12">
        <f t="shared" si="2"/>
        <v>264.8</v>
      </c>
      <c r="N15" s="12">
        <f t="shared" si="3"/>
        <v>14.52000000000001</v>
      </c>
    </row>
    <row r="16" spans="1:19" ht="12.75">
      <c r="A16" s="9"/>
      <c r="B16" s="9"/>
      <c r="C16" s="9"/>
      <c r="D16" s="9"/>
      <c r="E16" s="9"/>
      <c r="F16" s="16">
        <f>MIN(F11:F15)</f>
        <v>52.88</v>
      </c>
      <c r="G16" s="9"/>
      <c r="H16" s="9"/>
      <c r="I16" s="9"/>
      <c r="J16" s="9"/>
      <c r="K16" s="9"/>
      <c r="L16" s="9"/>
      <c r="M16" s="9"/>
      <c r="N16" s="9"/>
    </row>
    <row r="17" spans="1:14" ht="12.75">
      <c r="B17" s="10" t="s">
        <v>19</v>
      </c>
      <c r="C17" s="11">
        <v>45873.666666666672</v>
      </c>
      <c r="D17" s="12">
        <v>52.92</v>
      </c>
      <c r="E17" s="12">
        <v>52.95</v>
      </c>
      <c r="F17" s="12">
        <v>52.3</v>
      </c>
      <c r="G17" s="12">
        <v>52.55</v>
      </c>
      <c r="H17" s="7"/>
      <c r="K17" s="10">
        <v>5</v>
      </c>
      <c r="L17" s="10">
        <v>250.28</v>
      </c>
      <c r="M17" s="12">
        <f t="shared" ref="M17:M21" si="4">K17*G17</f>
        <v>262.75</v>
      </c>
      <c r="N17" s="12">
        <f t="shared" ref="N17:N21" si="5">M17-L17</f>
        <v>12.469999999999999</v>
      </c>
    </row>
    <row r="18" spans="1:14" ht="12.75">
      <c r="B18" s="10" t="s">
        <v>20</v>
      </c>
      <c r="C18" s="11">
        <v>45874.666666666672</v>
      </c>
      <c r="D18" s="12">
        <v>53.03</v>
      </c>
      <c r="E18" s="12">
        <v>53.26</v>
      </c>
      <c r="F18" s="12">
        <v>53.03</v>
      </c>
      <c r="G18" s="12">
        <v>53.13</v>
      </c>
      <c r="H18" s="7"/>
      <c r="K18" s="10">
        <v>5</v>
      </c>
      <c r="L18" s="10">
        <v>250.28</v>
      </c>
      <c r="M18" s="12">
        <f t="shared" si="4"/>
        <v>265.65000000000003</v>
      </c>
      <c r="N18" s="12">
        <f t="shared" si="5"/>
        <v>15.370000000000033</v>
      </c>
    </row>
    <row r="19" spans="1:14" ht="12.75">
      <c r="B19" s="10" t="s">
        <v>21</v>
      </c>
      <c r="C19" s="11">
        <v>45875.666666666672</v>
      </c>
      <c r="D19" s="12">
        <v>53.11</v>
      </c>
      <c r="E19" s="12">
        <v>53.37</v>
      </c>
      <c r="F19" s="12">
        <v>53</v>
      </c>
      <c r="G19" s="12">
        <v>53.28</v>
      </c>
      <c r="H19" s="7"/>
      <c r="K19" s="10">
        <v>5</v>
      </c>
      <c r="L19" s="10">
        <v>250.28</v>
      </c>
      <c r="M19" s="12">
        <f t="shared" si="4"/>
        <v>266.39999999999998</v>
      </c>
      <c r="N19" s="12">
        <f t="shared" si="5"/>
        <v>16.119999999999976</v>
      </c>
    </row>
    <row r="20" spans="1:14" ht="12.75">
      <c r="B20" s="10" t="s">
        <v>22</v>
      </c>
      <c r="C20" s="11">
        <v>45876.666666666672</v>
      </c>
      <c r="D20" s="12">
        <v>53.44</v>
      </c>
      <c r="E20" s="12">
        <v>53.46</v>
      </c>
      <c r="F20" s="12">
        <v>53.31</v>
      </c>
      <c r="G20" s="12">
        <v>53.36</v>
      </c>
      <c r="H20" s="7"/>
      <c r="K20" s="10">
        <v>5</v>
      </c>
      <c r="L20" s="10">
        <v>250.28</v>
      </c>
      <c r="M20" s="12">
        <f t="shared" si="4"/>
        <v>266.8</v>
      </c>
      <c r="N20" s="12">
        <f t="shared" si="5"/>
        <v>16.52000000000001</v>
      </c>
    </row>
    <row r="21" spans="1:14" ht="12.75">
      <c r="B21" s="10" t="s">
        <v>23</v>
      </c>
      <c r="C21" s="11">
        <v>45877.666666666672</v>
      </c>
      <c r="D21" s="12">
        <v>53.39</v>
      </c>
      <c r="E21" s="12">
        <v>53.46</v>
      </c>
      <c r="F21" s="12">
        <v>53.3</v>
      </c>
      <c r="G21" s="12">
        <v>53.31</v>
      </c>
      <c r="H21" s="7"/>
      <c r="K21" s="10">
        <v>5</v>
      </c>
      <c r="L21" s="10">
        <v>250.28</v>
      </c>
      <c r="M21" s="12">
        <f t="shared" si="4"/>
        <v>266.55</v>
      </c>
      <c r="N21" s="12">
        <f t="shared" si="5"/>
        <v>16.27000000000001</v>
      </c>
    </row>
    <row r="22" spans="1:14" ht="12.7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ht="12.75">
      <c r="B23" s="10" t="s">
        <v>19</v>
      </c>
      <c r="C23" s="11">
        <v>45880.666666666672</v>
      </c>
      <c r="D23" s="12">
        <v>53.56</v>
      </c>
      <c r="E23" s="12">
        <v>53.62</v>
      </c>
      <c r="F23" s="12">
        <v>53.5</v>
      </c>
      <c r="G23" s="12">
        <v>53.58</v>
      </c>
      <c r="H23" s="7"/>
      <c r="K23" s="10">
        <v>5</v>
      </c>
      <c r="L23" s="10">
        <v>250.28</v>
      </c>
      <c r="M23" s="12">
        <f t="shared" ref="M23:M27" si="6">K23*G23</f>
        <v>267.89999999999998</v>
      </c>
      <c r="N23" s="12">
        <f t="shared" ref="N23:N27" si="7">M23-L23</f>
        <v>17.619999999999976</v>
      </c>
    </row>
    <row r="24" spans="1:14" ht="12.75">
      <c r="B24" s="10" t="s">
        <v>20</v>
      </c>
      <c r="C24" s="11">
        <v>45881.666666666672</v>
      </c>
      <c r="D24" s="12">
        <v>53.52</v>
      </c>
      <c r="E24" s="12">
        <v>53.7</v>
      </c>
      <c r="F24" s="12">
        <v>53.46</v>
      </c>
      <c r="G24" s="12">
        <v>53.63</v>
      </c>
      <c r="H24" s="7"/>
      <c r="K24" s="10">
        <v>5</v>
      </c>
      <c r="L24" s="10">
        <v>250.28</v>
      </c>
      <c r="M24" s="12">
        <f t="shared" si="6"/>
        <v>268.15000000000003</v>
      </c>
      <c r="N24" s="12">
        <f t="shared" si="7"/>
        <v>17.870000000000033</v>
      </c>
    </row>
    <row r="25" spans="1:14" ht="12.75">
      <c r="B25" s="10" t="s">
        <v>21</v>
      </c>
      <c r="C25" s="11">
        <v>45882.666666666672</v>
      </c>
      <c r="D25" s="12">
        <v>53.98</v>
      </c>
      <c r="E25" s="12">
        <v>54.06</v>
      </c>
      <c r="F25" s="12">
        <v>53.71</v>
      </c>
      <c r="G25" s="12">
        <v>53.8</v>
      </c>
      <c r="H25" s="7"/>
      <c r="K25" s="10">
        <v>5</v>
      </c>
      <c r="L25" s="10">
        <v>250.28</v>
      </c>
      <c r="M25" s="12">
        <f t="shared" si="6"/>
        <v>269</v>
      </c>
      <c r="N25" s="12">
        <f t="shared" si="7"/>
        <v>18.72</v>
      </c>
    </row>
    <row r="26" spans="1:14" ht="12.75">
      <c r="B26" s="10" t="s">
        <v>22</v>
      </c>
      <c r="C26" s="11">
        <v>45883.666666666672</v>
      </c>
      <c r="D26" s="12">
        <v>53.94</v>
      </c>
      <c r="E26" s="12">
        <v>53.98</v>
      </c>
      <c r="F26" s="12">
        <v>53.88</v>
      </c>
      <c r="G26" s="12">
        <v>53.88</v>
      </c>
      <c r="H26" s="7"/>
      <c r="K26" s="10">
        <v>5</v>
      </c>
      <c r="L26" s="10">
        <v>250.28</v>
      </c>
      <c r="M26" s="12">
        <f t="shared" si="6"/>
        <v>269.40000000000003</v>
      </c>
      <c r="N26" s="12">
        <f t="shared" si="7"/>
        <v>19.120000000000033</v>
      </c>
    </row>
    <row r="27" spans="1:14" ht="12.75">
      <c r="B27" s="10" t="s">
        <v>23</v>
      </c>
      <c r="C27" s="11">
        <v>45884.666666666672</v>
      </c>
      <c r="D27" s="12">
        <v>54.01</v>
      </c>
      <c r="E27" s="12">
        <v>54.36</v>
      </c>
      <c r="F27" s="12">
        <v>54.01</v>
      </c>
      <c r="G27" s="12">
        <v>54.36</v>
      </c>
      <c r="H27" s="7"/>
      <c r="K27" s="10">
        <v>5</v>
      </c>
      <c r="L27" s="10">
        <v>250.28</v>
      </c>
      <c r="M27" s="12">
        <f t="shared" si="6"/>
        <v>271.8</v>
      </c>
      <c r="N27" s="12">
        <f t="shared" si="7"/>
        <v>21.52000000000001</v>
      </c>
    </row>
    <row r="28" spans="1:14" ht="12.7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30" spans="1:14" ht="12.75">
      <c r="A30" s="6" t="s">
        <v>18</v>
      </c>
      <c r="B30" s="7"/>
      <c r="C30" s="8">
        <v>45897</v>
      </c>
      <c r="D30" s="7"/>
      <c r="E30" s="7"/>
      <c r="F30" s="7"/>
      <c r="G30" s="7"/>
      <c r="H30" s="6">
        <v>54.45</v>
      </c>
      <c r="I30" s="6">
        <v>1</v>
      </c>
      <c r="J30" s="7">
        <f t="shared" ref="J30:J32" si="8">I30*H30</f>
        <v>54.45</v>
      </c>
      <c r="K30" s="7">
        <f t="shared" ref="K30:L30" si="9">K27+I30</f>
        <v>6</v>
      </c>
      <c r="L30" s="7">
        <f t="shared" si="9"/>
        <v>304.73</v>
      </c>
      <c r="M30" s="7"/>
      <c r="N30" s="7"/>
    </row>
    <row r="31" spans="1:14" ht="12.75">
      <c r="A31" s="6" t="s">
        <v>18</v>
      </c>
      <c r="B31" s="7"/>
      <c r="C31" s="8">
        <v>45919</v>
      </c>
      <c r="D31" s="7"/>
      <c r="E31" s="7"/>
      <c r="F31" s="7"/>
      <c r="G31" s="7"/>
      <c r="H31" s="6">
        <v>54.86</v>
      </c>
      <c r="I31" s="6">
        <v>2</v>
      </c>
      <c r="J31" s="7">
        <f t="shared" si="8"/>
        <v>109.72</v>
      </c>
      <c r="K31" s="7">
        <f t="shared" ref="K31:L31" si="10">K30+I31</f>
        <v>8</v>
      </c>
      <c r="L31" s="7">
        <f t="shared" si="10"/>
        <v>414.45000000000005</v>
      </c>
      <c r="M31" s="7"/>
      <c r="N31" s="7"/>
    </row>
    <row r="32" spans="1:14" ht="12.75">
      <c r="A32" s="6" t="s">
        <v>18</v>
      </c>
      <c r="B32" s="7"/>
      <c r="C32" s="19">
        <v>45950</v>
      </c>
      <c r="D32" s="7"/>
      <c r="E32" s="7"/>
      <c r="F32" s="7"/>
      <c r="G32" s="7"/>
      <c r="H32" s="6">
        <v>55.85</v>
      </c>
      <c r="I32" s="6">
        <v>1</v>
      </c>
      <c r="J32" s="7">
        <f t="shared" si="8"/>
        <v>55.85</v>
      </c>
      <c r="K32" s="7">
        <f t="shared" ref="K32:L32" si="11">K31+I32</f>
        <v>9</v>
      </c>
      <c r="L32" s="7">
        <f t="shared" si="11"/>
        <v>470.30000000000007</v>
      </c>
      <c r="M32" s="7"/>
      <c r="N32" s="7"/>
    </row>
    <row r="33" spans="1:14" ht="12.7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2.75">
      <c r="A34" s="6" t="s">
        <v>18</v>
      </c>
      <c r="B34" s="7"/>
      <c r="C34" s="19">
        <v>45975</v>
      </c>
      <c r="D34" s="7"/>
      <c r="E34" s="7"/>
      <c r="F34" s="7"/>
      <c r="G34" s="7"/>
      <c r="H34" s="6">
        <v>55.07</v>
      </c>
      <c r="I34" s="6">
        <v>1</v>
      </c>
      <c r="J34" s="6">
        <v>55.07</v>
      </c>
      <c r="K34" s="6">
        <v>10</v>
      </c>
      <c r="L34" s="7">
        <f>L32+J34</f>
        <v>525.37000000000012</v>
      </c>
      <c r="M34" s="7"/>
      <c r="N34" s="7"/>
    </row>
    <row r="35" spans="1:14" ht="12.75">
      <c r="A35" s="6" t="s">
        <v>18</v>
      </c>
      <c r="B35" s="7"/>
      <c r="C35" s="19">
        <v>45990</v>
      </c>
      <c r="D35" s="7"/>
      <c r="E35" s="7"/>
      <c r="F35" s="7"/>
      <c r="G35" s="7"/>
      <c r="H35" s="6">
        <v>55.36</v>
      </c>
      <c r="I35" s="6">
        <v>1</v>
      </c>
      <c r="J35" s="6">
        <v>55.36</v>
      </c>
      <c r="K35" s="6">
        <v>11</v>
      </c>
      <c r="L35" s="7">
        <f t="shared" ref="L35:L36" si="12">L34+J35</f>
        <v>580.73000000000013</v>
      </c>
      <c r="M35" s="7"/>
      <c r="N35" s="7"/>
    </row>
    <row r="36" spans="1:14" ht="12.75">
      <c r="A36" s="6" t="s">
        <v>18</v>
      </c>
      <c r="B36" s="7"/>
      <c r="C36" s="19">
        <v>46385</v>
      </c>
      <c r="D36" s="7"/>
      <c r="E36" s="7"/>
      <c r="F36" s="7"/>
      <c r="G36" s="7"/>
      <c r="H36" s="6">
        <v>55.69</v>
      </c>
      <c r="I36" s="6">
        <v>1</v>
      </c>
      <c r="J36" s="6">
        <v>55.69</v>
      </c>
      <c r="K36" s="6">
        <v>12</v>
      </c>
      <c r="L36" s="7">
        <f t="shared" si="12"/>
        <v>636.42000000000007</v>
      </c>
      <c r="M36" s="7"/>
      <c r="N36" s="7"/>
    </row>
    <row r="37" spans="1:14" ht="12.75">
      <c r="B37" s="10" t="s">
        <v>19</v>
      </c>
      <c r="C37" s="11">
        <v>46027.666666666672</v>
      </c>
      <c r="D37" s="12">
        <v>55.4</v>
      </c>
      <c r="E37" s="12">
        <v>55.94</v>
      </c>
      <c r="F37" s="12">
        <v>55.31</v>
      </c>
      <c r="G37" s="12">
        <v>55.54</v>
      </c>
      <c r="K37" s="10">
        <v>12</v>
      </c>
      <c r="L37" s="10">
        <v>636.41999999999996</v>
      </c>
      <c r="M37" s="12">
        <f t="shared" ref="M37:M41" si="13">K37*G37</f>
        <v>666.48</v>
      </c>
      <c r="N37" s="12">
        <f t="shared" ref="N37:N41" si="14">M37-L37</f>
        <v>30.060000000000059</v>
      </c>
    </row>
    <row r="38" spans="1:14" ht="12.75">
      <c r="B38" s="10" t="s">
        <v>20</v>
      </c>
      <c r="C38" s="11">
        <v>46028.666666666672</v>
      </c>
      <c r="D38" s="12">
        <v>55.76</v>
      </c>
      <c r="E38" s="12">
        <v>55.78</v>
      </c>
      <c r="F38" s="12">
        <v>55.44</v>
      </c>
      <c r="G38" s="12">
        <v>55.45</v>
      </c>
      <c r="K38" s="10">
        <v>12</v>
      </c>
      <c r="L38" s="10">
        <v>636.41999999999996</v>
      </c>
      <c r="M38" s="12">
        <f t="shared" si="13"/>
        <v>665.40000000000009</v>
      </c>
      <c r="N38" s="12">
        <f t="shared" si="14"/>
        <v>28.980000000000132</v>
      </c>
    </row>
    <row r="39" spans="1:14" ht="12.75">
      <c r="B39" s="10" t="s">
        <v>21</v>
      </c>
      <c r="C39" s="11">
        <v>46029.666666666672</v>
      </c>
      <c r="D39" s="12">
        <v>55.76</v>
      </c>
      <c r="E39" s="12">
        <v>55.95</v>
      </c>
      <c r="F39" s="12">
        <v>55.5</v>
      </c>
      <c r="G39" s="12">
        <v>55.5</v>
      </c>
      <c r="K39" s="10">
        <v>12</v>
      </c>
      <c r="L39" s="10">
        <v>636.41999999999996</v>
      </c>
      <c r="M39" s="12">
        <f t="shared" si="13"/>
        <v>666</v>
      </c>
      <c r="N39" s="12">
        <f t="shared" si="14"/>
        <v>29.580000000000041</v>
      </c>
    </row>
    <row r="40" spans="1:14" ht="12.75">
      <c r="B40" s="10" t="s">
        <v>22</v>
      </c>
      <c r="C40" s="11">
        <v>46030.666666666672</v>
      </c>
      <c r="D40" s="12">
        <v>55.66</v>
      </c>
      <c r="E40" s="12">
        <v>55.79</v>
      </c>
      <c r="F40" s="12">
        <v>55.56</v>
      </c>
      <c r="G40" s="12">
        <v>55.6</v>
      </c>
      <c r="K40" s="10">
        <v>12</v>
      </c>
      <c r="L40" s="10">
        <v>636.41999999999996</v>
      </c>
      <c r="M40" s="12">
        <f t="shared" si="13"/>
        <v>667.2</v>
      </c>
      <c r="N40" s="12">
        <f t="shared" si="14"/>
        <v>30.780000000000086</v>
      </c>
    </row>
    <row r="41" spans="1:14" ht="12.75">
      <c r="B41" s="10" t="s">
        <v>23</v>
      </c>
      <c r="C41" s="20">
        <v>46031.666666666672</v>
      </c>
      <c r="D41" s="12">
        <v>55.88</v>
      </c>
      <c r="E41" s="12">
        <v>55.92</v>
      </c>
      <c r="F41" s="12">
        <v>55.64</v>
      </c>
      <c r="G41" s="12">
        <v>55.64</v>
      </c>
      <c r="K41" s="10">
        <v>12</v>
      </c>
      <c r="L41" s="10">
        <v>636.41999999999996</v>
      </c>
      <c r="M41" s="12">
        <f t="shared" si="13"/>
        <v>667.68000000000006</v>
      </c>
      <c r="N41" s="12">
        <f t="shared" si="14"/>
        <v>31.260000000000105</v>
      </c>
    </row>
    <row r="42" spans="1:14" ht="12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ht="12.75">
      <c r="B43" s="10" t="s">
        <v>19</v>
      </c>
      <c r="C43" s="11">
        <v>46041.666666666672</v>
      </c>
      <c r="D43" s="12">
        <v>56.53</v>
      </c>
      <c r="E43" s="12">
        <v>56.78</v>
      </c>
      <c r="F43" s="12">
        <v>56.16</v>
      </c>
      <c r="G43" s="12">
        <v>56.27</v>
      </c>
      <c r="K43" s="10">
        <v>12</v>
      </c>
      <c r="L43" s="10">
        <v>636.41999999999996</v>
      </c>
      <c r="M43" s="12">
        <f t="shared" ref="M43:M46" si="15">K43*G43</f>
        <v>675.24</v>
      </c>
      <c r="N43" s="12">
        <f t="shared" ref="N43:N46" si="16">M43-L43</f>
        <v>38.82000000000005</v>
      </c>
    </row>
    <row r="44" spans="1:14" ht="12.75">
      <c r="B44" s="10" t="s">
        <v>20</v>
      </c>
      <c r="C44" s="11">
        <v>46042.666666666672</v>
      </c>
      <c r="D44" s="12">
        <v>56.13</v>
      </c>
      <c r="E44" s="12">
        <v>56.17</v>
      </c>
      <c r="F44" s="12">
        <v>55.8</v>
      </c>
      <c r="G44" s="12">
        <v>55.8</v>
      </c>
      <c r="K44" s="10">
        <v>12</v>
      </c>
      <c r="L44" s="10">
        <v>636.41999999999996</v>
      </c>
      <c r="M44" s="12">
        <f t="shared" si="15"/>
        <v>669.59999999999991</v>
      </c>
      <c r="N44" s="12">
        <f t="shared" si="16"/>
        <v>33.17999999999995</v>
      </c>
    </row>
    <row r="45" spans="1:14" ht="12.75">
      <c r="B45" s="10" t="s">
        <v>21</v>
      </c>
      <c r="C45" s="11">
        <v>46043.666666666672</v>
      </c>
      <c r="D45" s="12">
        <v>55.8</v>
      </c>
      <c r="E45" s="12">
        <v>55.8</v>
      </c>
      <c r="F45" s="12">
        <v>55.4</v>
      </c>
      <c r="G45" s="12">
        <v>55.52</v>
      </c>
      <c r="K45" s="10">
        <v>12</v>
      </c>
      <c r="L45" s="10">
        <v>636.41999999999996</v>
      </c>
      <c r="M45" s="12">
        <f t="shared" si="15"/>
        <v>666.24</v>
      </c>
      <c r="N45" s="12">
        <f t="shared" si="16"/>
        <v>29.82000000000005</v>
      </c>
    </row>
    <row r="46" spans="1:14" ht="12.75">
      <c r="B46" s="10" t="s">
        <v>22</v>
      </c>
      <c r="C46" s="11">
        <v>46044.666666666672</v>
      </c>
      <c r="D46" s="12">
        <v>55.9</v>
      </c>
      <c r="E46" s="12">
        <v>56.27</v>
      </c>
      <c r="F46" s="12">
        <v>55.88</v>
      </c>
      <c r="G46" s="12">
        <v>55.94</v>
      </c>
      <c r="K46" s="10">
        <v>12</v>
      </c>
      <c r="L46" s="10">
        <v>636.41999999999996</v>
      </c>
      <c r="M46" s="12">
        <f t="shared" si="15"/>
        <v>671.28</v>
      </c>
      <c r="N46" s="12">
        <f t="shared" si="16"/>
        <v>34.860000000000014</v>
      </c>
    </row>
    <row r="47" spans="1:14" ht="12.75">
      <c r="A47" s="7"/>
      <c r="B47" s="6" t="s">
        <v>23</v>
      </c>
      <c r="C47" s="7"/>
      <c r="D47" s="7"/>
      <c r="E47" s="7"/>
      <c r="F47" s="7"/>
      <c r="G47" s="7"/>
      <c r="H47" s="6">
        <v>55.99</v>
      </c>
      <c r="I47" s="6">
        <v>1</v>
      </c>
      <c r="J47" s="6">
        <v>55.99</v>
      </c>
      <c r="K47" s="7">
        <f t="shared" ref="K47:L47" si="17">K46+I47</f>
        <v>13</v>
      </c>
      <c r="L47" s="7">
        <f t="shared" si="17"/>
        <v>692.41</v>
      </c>
      <c r="M47" s="7"/>
      <c r="N47" s="7"/>
    </row>
    <row r="48" spans="1:14" ht="12.75">
      <c r="B48" s="10" t="s">
        <v>19</v>
      </c>
      <c r="C48" s="21">
        <v>46048</v>
      </c>
      <c r="D48" s="10" t="s">
        <v>26</v>
      </c>
      <c r="E48" s="10" t="s">
        <v>26</v>
      </c>
      <c r="F48" s="10" t="s">
        <v>26</v>
      </c>
      <c r="G48" s="10" t="s">
        <v>26</v>
      </c>
      <c r="H48" s="10" t="s">
        <v>26</v>
      </c>
      <c r="I48" s="10" t="s">
        <v>26</v>
      </c>
      <c r="J48" s="10" t="s">
        <v>26</v>
      </c>
      <c r="K48" s="10">
        <v>13</v>
      </c>
      <c r="L48" s="10">
        <v>692.41</v>
      </c>
    </row>
    <row r="49" spans="1:15" ht="12.75">
      <c r="B49" s="10" t="s">
        <v>20</v>
      </c>
      <c r="C49" s="21">
        <v>46049</v>
      </c>
      <c r="D49" s="12">
        <v>55.94</v>
      </c>
      <c r="E49" s="12">
        <v>56.15</v>
      </c>
      <c r="F49" s="12">
        <v>55.9</v>
      </c>
      <c r="G49" s="12">
        <v>56.04</v>
      </c>
      <c r="K49" s="10">
        <v>13</v>
      </c>
      <c r="L49" s="10">
        <v>692.41</v>
      </c>
      <c r="M49" s="12">
        <f t="shared" ref="M49:M51" si="18">K49*G49</f>
        <v>728.52</v>
      </c>
      <c r="N49" s="12">
        <f t="shared" ref="N49:N51" si="19">M49-L49</f>
        <v>36.110000000000014</v>
      </c>
    </row>
    <row r="50" spans="1:15" ht="12.75">
      <c r="B50" s="10" t="s">
        <v>21</v>
      </c>
      <c r="C50" s="21">
        <v>46050</v>
      </c>
      <c r="D50" s="12">
        <v>56.02</v>
      </c>
      <c r="E50" s="12">
        <v>56.15</v>
      </c>
      <c r="F50" s="12">
        <v>55.81</v>
      </c>
      <c r="G50" s="12">
        <v>55.9</v>
      </c>
      <c r="K50" s="10">
        <v>13</v>
      </c>
      <c r="L50" s="10">
        <v>692.41</v>
      </c>
      <c r="M50" s="12">
        <f t="shared" si="18"/>
        <v>726.69999999999993</v>
      </c>
      <c r="N50" s="12">
        <f t="shared" si="19"/>
        <v>34.289999999999964</v>
      </c>
    </row>
    <row r="51" spans="1:15" ht="12.75">
      <c r="B51" s="10" t="s">
        <v>22</v>
      </c>
      <c r="C51" s="21">
        <v>46051</v>
      </c>
      <c r="D51" s="12">
        <v>55.8</v>
      </c>
      <c r="E51" s="12">
        <v>55.87</v>
      </c>
      <c r="F51" s="12">
        <v>55.46</v>
      </c>
      <c r="G51" s="12">
        <v>55.59</v>
      </c>
      <c r="K51" s="10">
        <v>13</v>
      </c>
      <c r="L51" s="10">
        <v>692.41</v>
      </c>
      <c r="M51" s="12">
        <f t="shared" si="18"/>
        <v>722.67000000000007</v>
      </c>
      <c r="N51" s="12">
        <f t="shared" si="19"/>
        <v>30.260000000000105</v>
      </c>
    </row>
    <row r="52" spans="1:15" ht="12.75">
      <c r="B52" s="10" t="s">
        <v>23</v>
      </c>
      <c r="C52" s="21">
        <v>46052</v>
      </c>
      <c r="K52" s="10">
        <v>13</v>
      </c>
      <c r="L52" s="10">
        <v>692.41</v>
      </c>
    </row>
    <row r="53" spans="1:15" ht="12.7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5" ht="12.75">
      <c r="B54" s="10" t="s">
        <v>19</v>
      </c>
      <c r="C54" s="11">
        <v>46069.666666666672</v>
      </c>
      <c r="D54" s="12">
        <v>55.5</v>
      </c>
      <c r="E54" s="12">
        <v>55.58</v>
      </c>
      <c r="F54" s="12">
        <v>55.31</v>
      </c>
      <c r="G54" s="12">
        <v>55.35</v>
      </c>
      <c r="K54" s="10">
        <v>13</v>
      </c>
      <c r="L54" s="10">
        <v>692.41</v>
      </c>
      <c r="M54" s="12">
        <f t="shared" ref="M54:M58" si="20">K54*G54</f>
        <v>719.55000000000007</v>
      </c>
      <c r="N54" s="12">
        <f t="shared" ref="N54:N58" si="21">M54-L54</f>
        <v>27.1400000000001</v>
      </c>
    </row>
    <row r="55" spans="1:15" ht="12.75">
      <c r="B55" s="10" t="s">
        <v>20</v>
      </c>
      <c r="C55" s="11">
        <v>46070.666666666672</v>
      </c>
      <c r="D55" s="12">
        <v>55.5</v>
      </c>
      <c r="E55" s="12">
        <v>55.89</v>
      </c>
      <c r="F55" s="12">
        <v>55.23</v>
      </c>
      <c r="G55" s="12">
        <v>55.23</v>
      </c>
      <c r="K55" s="10">
        <v>13</v>
      </c>
      <c r="L55" s="10">
        <v>692.41</v>
      </c>
      <c r="M55" s="12">
        <f t="shared" si="20"/>
        <v>717.99</v>
      </c>
      <c r="N55" s="12">
        <f t="shared" si="21"/>
        <v>25.580000000000041</v>
      </c>
    </row>
    <row r="56" spans="1:15" ht="12.75">
      <c r="B56" s="10" t="s">
        <v>21</v>
      </c>
      <c r="C56" s="11">
        <v>46071.666666666672</v>
      </c>
      <c r="D56" s="12">
        <v>55.63</v>
      </c>
      <c r="E56" s="12">
        <v>55.75</v>
      </c>
      <c r="F56" s="12">
        <v>55.5</v>
      </c>
      <c r="G56" s="12">
        <v>55.75</v>
      </c>
      <c r="K56" s="10">
        <v>13</v>
      </c>
      <c r="L56" s="10">
        <v>692.41</v>
      </c>
      <c r="M56" s="12">
        <f t="shared" si="20"/>
        <v>724.75</v>
      </c>
      <c r="N56" s="12">
        <f t="shared" si="21"/>
        <v>32.340000000000032</v>
      </c>
    </row>
    <row r="57" spans="1:15" ht="12.75">
      <c r="B57" s="10" t="s">
        <v>22</v>
      </c>
      <c r="C57" s="11">
        <v>46072.666666666672</v>
      </c>
      <c r="D57" s="12">
        <v>55.88</v>
      </c>
      <c r="E57" s="12">
        <v>56.25</v>
      </c>
      <c r="F57" s="12">
        <v>55.88</v>
      </c>
      <c r="G57" s="12">
        <v>56.12</v>
      </c>
      <c r="K57" s="10">
        <v>13</v>
      </c>
      <c r="L57" s="10">
        <v>692.41</v>
      </c>
      <c r="M57" s="12">
        <f t="shared" si="20"/>
        <v>729.56</v>
      </c>
      <c r="N57" s="12">
        <f t="shared" si="21"/>
        <v>37.149999999999977</v>
      </c>
    </row>
    <row r="58" spans="1:15" ht="12.75">
      <c r="A58" s="6" t="s">
        <v>18</v>
      </c>
      <c r="B58" s="6" t="s">
        <v>23</v>
      </c>
      <c r="C58" s="18">
        <v>46073.666666666672</v>
      </c>
      <c r="D58" s="7">
        <v>55.99</v>
      </c>
      <c r="E58" s="7">
        <v>56.15</v>
      </c>
      <c r="F58" s="7">
        <v>55.81</v>
      </c>
      <c r="G58" s="7">
        <v>56.02</v>
      </c>
      <c r="H58" s="7"/>
      <c r="I58" s="6">
        <v>1</v>
      </c>
      <c r="J58" s="6">
        <v>56.14</v>
      </c>
      <c r="K58" s="6">
        <v>14</v>
      </c>
      <c r="L58" s="6">
        <f>L57+J58</f>
        <v>748.55</v>
      </c>
      <c r="M58" s="7">
        <f t="shared" si="20"/>
        <v>784.28000000000009</v>
      </c>
      <c r="N58" s="7">
        <f t="shared" si="21"/>
        <v>35.730000000000132</v>
      </c>
    </row>
    <row r="59" spans="1:15" ht="12.7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5" ht="12.75">
      <c r="A60" s="6" t="s">
        <v>18</v>
      </c>
      <c r="B60" s="7"/>
      <c r="C60" s="8">
        <v>46105</v>
      </c>
      <c r="D60" s="7"/>
      <c r="E60" s="7"/>
      <c r="F60" s="7"/>
      <c r="G60" s="7"/>
      <c r="H60" s="7"/>
      <c r="I60" s="6">
        <v>1</v>
      </c>
      <c r="J60" s="6">
        <v>52.71</v>
      </c>
      <c r="K60" s="6">
        <v>15</v>
      </c>
      <c r="L60" s="6">
        <f>L58+J60</f>
        <v>801.26</v>
      </c>
      <c r="M60" s="7"/>
      <c r="N60" s="7"/>
    </row>
    <row r="61" spans="1:15" ht="12.75">
      <c r="A61" s="6" t="s">
        <v>18</v>
      </c>
      <c r="B61" s="7"/>
      <c r="C61" s="8">
        <v>46136</v>
      </c>
      <c r="D61" s="7"/>
      <c r="E61" s="7"/>
      <c r="F61" s="7"/>
      <c r="G61" s="7"/>
      <c r="H61" s="7"/>
      <c r="I61" s="6">
        <v>1</v>
      </c>
      <c r="J61" s="6">
        <v>55.59</v>
      </c>
      <c r="K61" s="6">
        <v>16</v>
      </c>
      <c r="L61" s="6">
        <f t="shared" ref="L61:L62" si="22">L60+J61</f>
        <v>856.85</v>
      </c>
      <c r="M61" s="7"/>
      <c r="N61" s="7"/>
    </row>
    <row r="62" spans="1:15" ht="12.75">
      <c r="A62" s="6" t="s">
        <v>18</v>
      </c>
      <c r="B62" s="7"/>
      <c r="C62" s="8">
        <v>46157</v>
      </c>
      <c r="D62" s="7"/>
      <c r="E62" s="7"/>
      <c r="F62" s="7"/>
      <c r="G62" s="7"/>
      <c r="H62" s="7"/>
      <c r="I62" s="6">
        <v>1</v>
      </c>
      <c r="J62" s="6">
        <v>56.41</v>
      </c>
      <c r="K62" s="6">
        <v>17</v>
      </c>
      <c r="L62" s="6">
        <f t="shared" si="22"/>
        <v>913.26</v>
      </c>
      <c r="M62" s="7"/>
      <c r="N62" s="7"/>
    </row>
    <row r="63" spans="1:15" ht="12.7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5" ht="12.75">
      <c r="B64" s="10" t="s">
        <v>19</v>
      </c>
      <c r="C64" s="11">
        <v>46160.666666666672</v>
      </c>
      <c r="D64" s="12">
        <v>56.16</v>
      </c>
      <c r="E64" s="12">
        <v>56.16</v>
      </c>
      <c r="F64" s="12">
        <v>55.55</v>
      </c>
      <c r="G64" s="12">
        <v>55.55</v>
      </c>
      <c r="K64" s="22">
        <v>17</v>
      </c>
      <c r="L64" s="22">
        <v>913.26</v>
      </c>
      <c r="M64" s="17">
        <f t="shared" ref="M64:M68" si="23">K64*G64</f>
        <v>944.34999999999991</v>
      </c>
      <c r="N64" s="17">
        <f t="shared" ref="N64:N68" si="24">M64-L64</f>
        <v>31.089999999999918</v>
      </c>
      <c r="O64" s="17"/>
    </row>
    <row r="65" spans="1:15" ht="12.75">
      <c r="B65" s="10" t="s">
        <v>20</v>
      </c>
      <c r="C65" s="11">
        <v>46161.666666666672</v>
      </c>
      <c r="D65" s="12">
        <v>55.93</v>
      </c>
      <c r="E65" s="12">
        <v>56.22</v>
      </c>
      <c r="F65" s="12">
        <v>55.93</v>
      </c>
      <c r="G65" s="12">
        <v>55.98</v>
      </c>
      <c r="K65" s="22">
        <v>17</v>
      </c>
      <c r="L65" s="22">
        <v>913.26</v>
      </c>
      <c r="M65" s="17">
        <f t="shared" si="23"/>
        <v>951.66</v>
      </c>
      <c r="N65" s="17">
        <f t="shared" si="24"/>
        <v>38.399999999999977</v>
      </c>
    </row>
    <row r="66" spans="1:15" ht="12.75">
      <c r="B66" s="10" t="s">
        <v>21</v>
      </c>
      <c r="C66" s="11">
        <v>46162.666666666672</v>
      </c>
      <c r="D66" s="12">
        <v>56</v>
      </c>
      <c r="E66" s="12">
        <v>56.08</v>
      </c>
      <c r="F66" s="12">
        <v>55.62</v>
      </c>
      <c r="G66" s="12">
        <v>55.77</v>
      </c>
      <c r="K66" s="22">
        <v>17</v>
      </c>
      <c r="L66" s="22">
        <v>913.26</v>
      </c>
      <c r="M66" s="17">
        <f t="shared" si="23"/>
        <v>948.09</v>
      </c>
      <c r="N66" s="17">
        <f t="shared" si="24"/>
        <v>34.830000000000041</v>
      </c>
    </row>
    <row r="67" spans="1:15" ht="12.75">
      <c r="B67" s="10" t="s">
        <v>22</v>
      </c>
      <c r="C67" s="11">
        <v>46163.666666666672</v>
      </c>
      <c r="D67" s="12">
        <v>56.2</v>
      </c>
      <c r="E67" s="12">
        <v>56.62</v>
      </c>
      <c r="F67" s="12">
        <v>56.15</v>
      </c>
      <c r="G67" s="12">
        <v>56.31</v>
      </c>
      <c r="K67" s="22">
        <v>17</v>
      </c>
      <c r="L67" s="22">
        <v>913.26</v>
      </c>
      <c r="M67" s="17">
        <f t="shared" si="23"/>
        <v>957.27</v>
      </c>
      <c r="N67" s="17">
        <f t="shared" si="24"/>
        <v>44.009999999999991</v>
      </c>
    </row>
    <row r="68" spans="1:15" ht="12.75">
      <c r="B68" s="10" t="s">
        <v>23</v>
      </c>
      <c r="C68" s="11">
        <v>46164.666666666672</v>
      </c>
      <c r="D68" s="12">
        <v>56.55</v>
      </c>
      <c r="E68" s="12">
        <v>56.85</v>
      </c>
      <c r="F68" s="12">
        <v>56.55</v>
      </c>
      <c r="G68" s="12">
        <v>56.77</v>
      </c>
      <c r="K68" s="22">
        <v>17</v>
      </c>
      <c r="L68" s="22">
        <v>913.26</v>
      </c>
      <c r="M68" s="17">
        <f t="shared" si="23"/>
        <v>965.09</v>
      </c>
      <c r="N68" s="17">
        <f t="shared" si="24"/>
        <v>51.830000000000041</v>
      </c>
    </row>
    <row r="69" spans="1:15" ht="12.7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5" ht="12.75">
      <c r="B70" s="10" t="s">
        <v>19</v>
      </c>
      <c r="C70" s="11">
        <v>46188.666666666672</v>
      </c>
      <c r="D70" s="12">
        <v>57.6</v>
      </c>
      <c r="E70" s="12">
        <v>58.35</v>
      </c>
      <c r="F70" s="12">
        <v>57.6</v>
      </c>
      <c r="G70" s="12">
        <v>58.29</v>
      </c>
      <c r="K70" s="22">
        <v>17</v>
      </c>
      <c r="L70" s="22">
        <v>913.26</v>
      </c>
      <c r="M70" s="17">
        <f t="shared" ref="M70:M74" si="25">K70*G70</f>
        <v>990.93</v>
      </c>
      <c r="N70" s="17">
        <f t="shared" ref="N70:N74" si="26">M70-L70</f>
        <v>77.669999999999959</v>
      </c>
    </row>
    <row r="71" spans="1:15" ht="12.75">
      <c r="B71" s="10" t="s">
        <v>20</v>
      </c>
      <c r="C71" s="11">
        <v>46189.666666666672</v>
      </c>
      <c r="D71" s="12">
        <v>58.15</v>
      </c>
      <c r="E71" s="12">
        <v>58.5</v>
      </c>
      <c r="F71" s="12">
        <v>58.03</v>
      </c>
      <c r="G71" s="12">
        <v>58.32</v>
      </c>
      <c r="K71" s="22">
        <v>17</v>
      </c>
      <c r="L71" s="22">
        <v>913.26</v>
      </c>
      <c r="M71" s="17">
        <f t="shared" si="25"/>
        <v>991.44</v>
      </c>
      <c r="N71" s="17">
        <f t="shared" si="26"/>
        <v>78.180000000000064</v>
      </c>
    </row>
    <row r="72" spans="1:15" ht="12.75">
      <c r="B72" s="10" t="s">
        <v>21</v>
      </c>
      <c r="C72" s="11">
        <v>46190.666666666672</v>
      </c>
      <c r="D72" s="12">
        <v>58.22</v>
      </c>
      <c r="E72" s="12">
        <v>58.55</v>
      </c>
      <c r="F72" s="12">
        <v>58.15</v>
      </c>
      <c r="G72" s="12">
        <v>58.54</v>
      </c>
      <c r="K72" s="22">
        <v>17</v>
      </c>
      <c r="L72" s="22">
        <v>913.26</v>
      </c>
      <c r="M72" s="17">
        <f t="shared" si="25"/>
        <v>995.18</v>
      </c>
      <c r="N72" s="17">
        <f t="shared" si="26"/>
        <v>81.919999999999959</v>
      </c>
    </row>
    <row r="73" spans="1:15" ht="12.75">
      <c r="B73" s="10" t="s">
        <v>22</v>
      </c>
      <c r="C73" s="11">
        <v>46191.666666666672</v>
      </c>
      <c r="D73" s="12">
        <v>58.43</v>
      </c>
      <c r="E73" s="12">
        <v>58.55</v>
      </c>
      <c r="F73" s="12">
        <v>58.29</v>
      </c>
      <c r="G73" s="12">
        <v>58.36</v>
      </c>
      <c r="K73" s="22">
        <v>17</v>
      </c>
      <c r="L73" s="22">
        <v>913.26</v>
      </c>
      <c r="M73" s="17">
        <f t="shared" si="25"/>
        <v>992.12</v>
      </c>
      <c r="N73" s="17">
        <f t="shared" si="26"/>
        <v>78.860000000000014</v>
      </c>
    </row>
    <row r="74" spans="1:15" ht="12.75">
      <c r="A74" s="7"/>
      <c r="B74" s="6" t="s">
        <v>23</v>
      </c>
      <c r="C74" s="18">
        <v>46192.666666666672</v>
      </c>
      <c r="D74" s="7">
        <v>58.35</v>
      </c>
      <c r="E74" s="7">
        <v>58.35</v>
      </c>
      <c r="F74" s="7">
        <v>57.99</v>
      </c>
      <c r="G74" s="7">
        <v>58.05</v>
      </c>
      <c r="H74" s="6">
        <v>58.17</v>
      </c>
      <c r="I74" s="6">
        <v>1</v>
      </c>
      <c r="J74" s="6">
        <v>58.17</v>
      </c>
      <c r="K74" s="6">
        <v>18</v>
      </c>
      <c r="L74" s="7">
        <f>L73+J74</f>
        <v>971.43</v>
      </c>
      <c r="M74" s="7">
        <f t="shared" si="25"/>
        <v>1044.8999999999999</v>
      </c>
      <c r="N74" s="7">
        <f t="shared" si="26"/>
        <v>73.469999999999914</v>
      </c>
    </row>
    <row r="75" spans="1:15" ht="12.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5" ht="12.75">
      <c r="B76" s="10" t="s">
        <v>19</v>
      </c>
      <c r="C76" s="11">
        <v>46202.666666666672</v>
      </c>
      <c r="D76" s="12">
        <v>58</v>
      </c>
      <c r="E76" s="12">
        <v>58.17</v>
      </c>
      <c r="F76" s="12">
        <v>57.87</v>
      </c>
      <c r="G76" s="12">
        <v>58.17</v>
      </c>
      <c r="K76" s="10">
        <v>18</v>
      </c>
      <c r="L76" s="22">
        <v>913.26</v>
      </c>
      <c r="M76" s="17">
        <f t="shared" ref="M76:M80" si="27">K76*G76</f>
        <v>1047.06</v>
      </c>
      <c r="N76" s="17">
        <f t="shared" ref="N76:N80" si="28">M76-L76</f>
        <v>133.79999999999995</v>
      </c>
    </row>
    <row r="77" spans="1:15" ht="12.75">
      <c r="B77" s="10" t="s">
        <v>20</v>
      </c>
      <c r="C77" s="11">
        <v>46203.666666666672</v>
      </c>
      <c r="D77" s="12">
        <v>58.51</v>
      </c>
      <c r="E77" s="12">
        <v>58.54</v>
      </c>
      <c r="F77" s="12">
        <v>58.28</v>
      </c>
      <c r="G77" s="12">
        <v>58.28</v>
      </c>
      <c r="K77" s="10">
        <v>18</v>
      </c>
      <c r="L77" s="22">
        <v>913.26</v>
      </c>
      <c r="M77" s="17">
        <f t="shared" si="27"/>
        <v>1049.04</v>
      </c>
      <c r="N77" s="17">
        <f t="shared" si="28"/>
        <v>135.77999999999997</v>
      </c>
    </row>
    <row r="78" spans="1:15" ht="12.75">
      <c r="B78" s="10" t="s">
        <v>21</v>
      </c>
      <c r="C78" s="11">
        <v>46204.666666666672</v>
      </c>
      <c r="D78" s="12">
        <v>57.93</v>
      </c>
      <c r="E78" s="12">
        <v>57.93</v>
      </c>
      <c r="F78" s="12">
        <v>57.52</v>
      </c>
      <c r="G78" s="12">
        <v>57.6</v>
      </c>
      <c r="K78" s="10">
        <v>18</v>
      </c>
      <c r="L78" s="22">
        <v>913.26</v>
      </c>
      <c r="M78" s="17">
        <f t="shared" si="27"/>
        <v>1036.8</v>
      </c>
      <c r="N78" s="17">
        <f t="shared" si="28"/>
        <v>123.53999999999996</v>
      </c>
    </row>
    <row r="79" spans="1:15" ht="12.75">
      <c r="B79" s="10" t="s">
        <v>22</v>
      </c>
      <c r="C79" s="11">
        <v>46205.666666666672</v>
      </c>
      <c r="D79" s="12">
        <v>57.58</v>
      </c>
      <c r="E79" s="12">
        <v>58</v>
      </c>
      <c r="F79" s="12">
        <v>57.3</v>
      </c>
      <c r="G79" s="12">
        <v>57.66</v>
      </c>
      <c r="K79" s="10">
        <v>18</v>
      </c>
      <c r="L79" s="22">
        <v>913.26</v>
      </c>
      <c r="M79" s="17">
        <f t="shared" si="27"/>
        <v>1037.8799999999999</v>
      </c>
      <c r="N79" s="17">
        <f t="shared" si="28"/>
        <v>124.61999999999989</v>
      </c>
    </row>
    <row r="80" spans="1:15" ht="12.75">
      <c r="B80" s="10" t="s">
        <v>23</v>
      </c>
      <c r="C80" s="11">
        <v>46206.666666666672</v>
      </c>
      <c r="D80" s="12">
        <v>57.69</v>
      </c>
      <c r="E80" s="12">
        <v>58</v>
      </c>
      <c r="F80" s="12">
        <v>57.54</v>
      </c>
      <c r="G80" s="12">
        <v>57.88</v>
      </c>
      <c r="K80" s="10">
        <v>18</v>
      </c>
      <c r="L80" s="22">
        <v>913.26</v>
      </c>
      <c r="M80" s="17">
        <f t="shared" si="27"/>
        <v>1041.8400000000001</v>
      </c>
      <c r="N80" s="17">
        <f t="shared" si="28"/>
        <v>128.58000000000015</v>
      </c>
      <c r="O80" s="10">
        <v>0</v>
      </c>
    </row>
    <row r="81" spans="1:14" ht="12.7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ht="12.75">
      <c r="A82" s="17"/>
      <c r="B82" s="22" t="s">
        <v>19</v>
      </c>
      <c r="C82" s="23">
        <v>46209.666666666672</v>
      </c>
      <c r="D82" s="17">
        <v>57.9</v>
      </c>
      <c r="E82" s="17">
        <v>58.16</v>
      </c>
      <c r="F82" s="17">
        <v>57.87</v>
      </c>
      <c r="G82" s="17">
        <v>57.9</v>
      </c>
      <c r="H82" s="22"/>
      <c r="I82" s="17"/>
      <c r="J82" s="17"/>
      <c r="K82" s="22">
        <v>18</v>
      </c>
      <c r="L82" s="22">
        <v>913.26</v>
      </c>
      <c r="M82" s="17">
        <f>K82*G82</f>
        <v>1042.2</v>
      </c>
      <c r="N82" s="17">
        <f>M82-L82</f>
        <v>128.94000000000005</v>
      </c>
    </row>
    <row r="83" spans="1:14" ht="12.75">
      <c r="A83" s="24"/>
      <c r="B83" s="25"/>
      <c r="C83" s="26" t="s">
        <v>27</v>
      </c>
      <c r="D83" s="27"/>
      <c r="E83" s="26" t="s">
        <v>28</v>
      </c>
      <c r="F83" s="27"/>
      <c r="G83" s="24"/>
      <c r="H83" s="24"/>
      <c r="I83" s="25" t="s">
        <v>29</v>
      </c>
      <c r="J83" s="24"/>
      <c r="K83" s="25">
        <v>16</v>
      </c>
      <c r="L83" s="25">
        <v>913.26</v>
      </c>
      <c r="M83" s="24"/>
      <c r="N83" s="24"/>
    </row>
    <row r="84" spans="1:14" ht="12.75">
      <c r="A84" s="7"/>
      <c r="B84" s="6" t="s">
        <v>20</v>
      </c>
      <c r="C84" s="18">
        <v>46210.666666666672</v>
      </c>
      <c r="D84" s="7">
        <v>58.21</v>
      </c>
      <c r="E84" s="7">
        <v>58.21</v>
      </c>
      <c r="F84" s="7">
        <v>57.72</v>
      </c>
      <c r="G84" s="7">
        <v>57.87</v>
      </c>
      <c r="H84" s="6">
        <v>57.87</v>
      </c>
      <c r="I84" s="6">
        <v>2</v>
      </c>
      <c r="J84" s="6">
        <v>115.74</v>
      </c>
      <c r="K84" s="7">
        <f t="shared" ref="K84:L84" si="29">K83+I84</f>
        <v>18</v>
      </c>
      <c r="L84" s="7">
        <f t="shared" si="29"/>
        <v>1029</v>
      </c>
      <c r="M84" s="7">
        <f t="shared" ref="M84:M87" si="30">K84*G84</f>
        <v>1041.6599999999999</v>
      </c>
      <c r="N84" s="7">
        <f t="shared" ref="N84:N87" si="31">M84-L84</f>
        <v>12.659999999999854</v>
      </c>
    </row>
    <row r="85" spans="1:14" ht="12.75">
      <c r="B85" s="10" t="s">
        <v>21</v>
      </c>
      <c r="C85" s="11">
        <v>46211.666666666672</v>
      </c>
      <c r="D85" s="12">
        <v>57.51</v>
      </c>
      <c r="E85" s="12">
        <v>57.66</v>
      </c>
      <c r="F85" s="12">
        <v>57.31</v>
      </c>
      <c r="G85" s="12">
        <v>57.6</v>
      </c>
      <c r="K85" s="10">
        <v>18</v>
      </c>
      <c r="L85" s="10">
        <v>1029</v>
      </c>
      <c r="M85" s="17">
        <f t="shared" si="30"/>
        <v>1036.8</v>
      </c>
      <c r="N85" s="17">
        <f t="shared" si="31"/>
        <v>7.7999999999999545</v>
      </c>
    </row>
    <row r="86" spans="1:14" ht="12.75">
      <c r="B86" s="10" t="s">
        <v>22</v>
      </c>
      <c r="C86" s="11">
        <v>46212.666666666672</v>
      </c>
      <c r="D86" s="12">
        <v>57.45</v>
      </c>
      <c r="E86" s="12">
        <v>57.55</v>
      </c>
      <c r="F86" s="12">
        <v>57.3</v>
      </c>
      <c r="G86" s="12">
        <v>57.48</v>
      </c>
      <c r="K86" s="10">
        <v>18</v>
      </c>
      <c r="L86" s="10">
        <v>1029</v>
      </c>
      <c r="M86" s="17">
        <f t="shared" si="30"/>
        <v>1034.6399999999999</v>
      </c>
      <c r="N86" s="17">
        <f t="shared" si="31"/>
        <v>5.6399999999998727</v>
      </c>
    </row>
    <row r="87" spans="1:14" ht="12.75">
      <c r="A87" s="7"/>
      <c r="B87" s="6" t="s">
        <v>23</v>
      </c>
      <c r="C87" s="18">
        <v>46213.666666666672</v>
      </c>
      <c r="D87" s="7">
        <v>57.73</v>
      </c>
      <c r="E87" s="7">
        <v>57.86</v>
      </c>
      <c r="F87" s="7">
        <v>57.6</v>
      </c>
      <c r="G87" s="7">
        <v>57.78</v>
      </c>
      <c r="H87" s="6">
        <v>57.85</v>
      </c>
      <c r="I87" s="6">
        <v>1</v>
      </c>
      <c r="J87" s="6">
        <v>57.85</v>
      </c>
      <c r="K87" s="7">
        <f t="shared" ref="K87:L87" si="32">K86+I87</f>
        <v>19</v>
      </c>
      <c r="L87" s="7">
        <f t="shared" si="32"/>
        <v>1086.8499999999999</v>
      </c>
      <c r="M87" s="7">
        <f t="shared" si="30"/>
        <v>1097.82</v>
      </c>
      <c r="N87" s="7">
        <f t="shared" si="31"/>
        <v>10.970000000000027</v>
      </c>
    </row>
    <row r="88" spans="1:14" ht="12.7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517" spans="8:14" ht="12.75">
      <c r="H517" s="17"/>
      <c r="I517" s="17"/>
      <c r="J517" s="17"/>
      <c r="K517" s="17"/>
      <c r="L517" s="17"/>
      <c r="M517" s="17"/>
      <c r="N517" s="17"/>
    </row>
  </sheetData>
  <printOptions horizontalCentered="1" gridLines="1"/>
  <pageMargins left="0.7" right="0.7" top="0.75" bottom="0.75" header="0" footer="0"/>
  <pageSetup paperSize="9" scale="54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"/>
  <sheetViews>
    <sheetView workbookViewId="0"/>
  </sheetViews>
  <sheetFormatPr defaultColWidth="12.5703125" defaultRowHeight="15.75" customHeight="1"/>
  <sheetData>
    <row r="1" spans="1:7" ht="15.75" customHeight="1">
      <c r="A1" s="28" t="s">
        <v>30</v>
      </c>
      <c r="B1" s="29"/>
      <c r="C1" s="29"/>
      <c r="D1" s="29"/>
      <c r="E1" s="29"/>
      <c r="G1" s="10" t="s">
        <v>31</v>
      </c>
    </row>
    <row r="2" spans="1:7" ht="12.75">
      <c r="B2" s="30" t="s">
        <v>32</v>
      </c>
      <c r="C2" s="31">
        <f ca="1">TODAY()-6</f>
        <v>46215</v>
      </c>
      <c r="D2" s="10" t="s">
        <v>33</v>
      </c>
      <c r="E2" s="31">
        <f ca="1">TODAY()</f>
        <v>46221</v>
      </c>
    </row>
    <row r="4" spans="1:7" ht="12.75">
      <c r="A4" s="10" t="s">
        <v>1</v>
      </c>
      <c r="B4" s="10" t="str">
        <f ca="1">IFERROR(__xludf.DUMMYFUNCTION("GOOGLEFINANCE(G1,""all"",C2,E2)"),"Date")</f>
        <v>Date</v>
      </c>
      <c r="C4" s="12" t="str">
        <f ca="1">IFERROR(__xludf.DUMMYFUNCTION("""COMPUTED_VALUE"""),"Open")</f>
        <v>Open</v>
      </c>
      <c r="D4" s="12" t="str">
        <f ca="1">IFERROR(__xludf.DUMMYFUNCTION("""COMPUTED_VALUE"""),"High")</f>
        <v>High</v>
      </c>
      <c r="E4" s="12" t="str">
        <f ca="1">IFERROR(__xludf.DUMMYFUNCTION("""COMPUTED_VALUE"""),"Low")</f>
        <v>Low</v>
      </c>
      <c r="F4" s="12" t="str">
        <f ca="1">IFERROR(__xludf.DUMMYFUNCTION("""COMPUTED_VALUE"""),"Close")</f>
        <v>Close</v>
      </c>
      <c r="G4" s="12" t="str">
        <f ca="1">IFERROR(__xludf.DUMMYFUNCTION("""COMPUTED_VALUE"""),"Volume")</f>
        <v>Volume</v>
      </c>
    </row>
    <row r="5" spans="1:7" ht="12.75">
      <c r="A5" s="10" t="s">
        <v>19</v>
      </c>
      <c r="B5" s="11">
        <f ca="1">IFERROR(__xludf.DUMMYFUNCTION("""COMPUTED_VALUE"""),46216.6666666666)</f>
        <v>46216.666666666599</v>
      </c>
      <c r="C5" s="12">
        <f ca="1">IFERROR(__xludf.DUMMYFUNCTION("""COMPUTED_VALUE"""),57.81)</f>
        <v>57.81</v>
      </c>
      <c r="D5" s="12">
        <f ca="1">IFERROR(__xludf.DUMMYFUNCTION("""COMPUTED_VALUE"""),57.92)</f>
        <v>57.92</v>
      </c>
      <c r="E5" s="12">
        <f ca="1">IFERROR(__xludf.DUMMYFUNCTION("""COMPUTED_VALUE"""),57.6)</f>
        <v>57.6</v>
      </c>
      <c r="F5" s="12">
        <f ca="1">IFERROR(__xludf.DUMMYFUNCTION("""COMPUTED_VALUE"""),57.64)</f>
        <v>57.64</v>
      </c>
      <c r="G5" s="12">
        <f ca="1">IFERROR(__xludf.DUMMYFUNCTION("""COMPUTED_VALUE"""),21357)</f>
        <v>21357</v>
      </c>
    </row>
    <row r="6" spans="1:7" ht="12.75">
      <c r="A6" s="10" t="s">
        <v>20</v>
      </c>
      <c r="B6" s="11">
        <f ca="1">IFERROR(__xludf.DUMMYFUNCTION("""COMPUTED_VALUE"""),46217.6666666666)</f>
        <v>46217.666666666599</v>
      </c>
      <c r="C6" s="12">
        <f ca="1">IFERROR(__xludf.DUMMYFUNCTION("""COMPUTED_VALUE"""),57.63)</f>
        <v>57.63</v>
      </c>
      <c r="D6" s="12">
        <f ca="1">IFERROR(__xludf.DUMMYFUNCTION("""COMPUTED_VALUE"""),57.65)</f>
        <v>57.65</v>
      </c>
      <c r="E6" s="12">
        <f ca="1">IFERROR(__xludf.DUMMYFUNCTION("""COMPUTED_VALUE"""),57.34)</f>
        <v>57.34</v>
      </c>
      <c r="F6" s="12">
        <f ca="1">IFERROR(__xludf.DUMMYFUNCTION("""COMPUTED_VALUE"""),57.61)</f>
        <v>57.61</v>
      </c>
      <c r="G6" s="12">
        <f ca="1">IFERROR(__xludf.DUMMYFUNCTION("""COMPUTED_VALUE"""),39093)</f>
        <v>39093</v>
      </c>
    </row>
    <row r="7" spans="1:7" ht="12.75">
      <c r="A7" s="10" t="s">
        <v>21</v>
      </c>
      <c r="B7" s="11">
        <f ca="1">IFERROR(__xludf.DUMMYFUNCTION("""COMPUTED_VALUE"""),46218.6666666666)</f>
        <v>46218.666666666599</v>
      </c>
      <c r="C7" s="12">
        <f ca="1">IFERROR(__xludf.DUMMYFUNCTION("""COMPUTED_VALUE"""),57.8)</f>
        <v>57.8</v>
      </c>
      <c r="D7" s="12">
        <f ca="1">IFERROR(__xludf.DUMMYFUNCTION("""COMPUTED_VALUE"""),57.87)</f>
        <v>57.87</v>
      </c>
      <c r="E7" s="12">
        <f ca="1">IFERROR(__xludf.DUMMYFUNCTION("""COMPUTED_VALUE"""),57.68)</f>
        <v>57.68</v>
      </c>
      <c r="F7" s="12">
        <f ca="1">IFERROR(__xludf.DUMMYFUNCTION("""COMPUTED_VALUE"""),57.7)</f>
        <v>57.7</v>
      </c>
      <c r="G7" s="12">
        <f ca="1">IFERROR(__xludf.DUMMYFUNCTION("""COMPUTED_VALUE"""),46234)</f>
        <v>46234</v>
      </c>
    </row>
    <row r="8" spans="1:7" ht="12.75">
      <c r="A8" s="10" t="s">
        <v>22</v>
      </c>
      <c r="B8" s="11">
        <f ca="1">IFERROR(__xludf.DUMMYFUNCTION("""COMPUTED_VALUE"""),46219.6666666666)</f>
        <v>46219.666666666599</v>
      </c>
      <c r="C8" s="12">
        <f ca="1">IFERROR(__xludf.DUMMYFUNCTION("""COMPUTED_VALUE"""),57.88)</f>
        <v>57.88</v>
      </c>
      <c r="D8" s="12">
        <f ca="1">IFERROR(__xludf.DUMMYFUNCTION("""COMPUTED_VALUE"""),57.88)</f>
        <v>57.88</v>
      </c>
      <c r="E8" s="12">
        <f ca="1">IFERROR(__xludf.DUMMYFUNCTION("""COMPUTED_VALUE"""),57.68)</f>
        <v>57.68</v>
      </c>
      <c r="F8" s="12">
        <f ca="1">IFERROR(__xludf.DUMMYFUNCTION("""COMPUTED_VALUE"""),57.74)</f>
        <v>57.74</v>
      </c>
      <c r="G8" s="12">
        <f ca="1">IFERROR(__xludf.DUMMYFUNCTION("""COMPUTED_VALUE"""),30452)</f>
        <v>30452</v>
      </c>
    </row>
    <row r="9" spans="1:7" ht="12.75">
      <c r="A9" s="10" t="s">
        <v>23</v>
      </c>
      <c r="B9" s="11">
        <f ca="1">IFERROR(__xludf.DUMMYFUNCTION("""COMPUTED_VALUE"""),46220.6666666666)</f>
        <v>46220.666666666599</v>
      </c>
      <c r="C9" s="12">
        <f ca="1">IFERROR(__xludf.DUMMYFUNCTION("""COMPUTED_VALUE"""),57.56)</f>
        <v>57.56</v>
      </c>
      <c r="D9" s="12">
        <f ca="1">IFERROR(__xludf.DUMMYFUNCTION("""COMPUTED_VALUE"""),57.56)</f>
        <v>57.56</v>
      </c>
      <c r="E9" s="12">
        <f ca="1">IFERROR(__xludf.DUMMYFUNCTION("""COMPUTED_VALUE"""),57.04)</f>
        <v>57.04</v>
      </c>
      <c r="F9" s="12">
        <f ca="1">IFERROR(__xludf.DUMMYFUNCTION("""COMPUTED_VALUE"""),57.12)</f>
        <v>57.12</v>
      </c>
      <c r="G9" s="12">
        <f ca="1">IFERROR(__xludf.DUMMYFUNCTION("""COMPUTED_VALUE"""),40262)</f>
        <v>40262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Vanguard Diversified All Growth</vt:lpstr>
      <vt:lpstr>VDAL Historial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pulipati.satish2000@hotmail.com</cp:lastModifiedBy>
  <dcterms:modified xsi:type="dcterms:W3CDTF">2026-07-18T06:40:38Z</dcterms:modified>
</cp:coreProperties>
</file>